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lle\Documents\College\University of Louisiana\PhD Research project\Manuscripts\Chapter 3_4_Biogeography_&amp;_Ecology\For Github\"/>
    </mc:Choice>
  </mc:AlternateContent>
  <xr:revisionPtr revIDLastSave="0" documentId="13_ncr:1_{CDC7555B-62F7-4AA0-B282-B9FFFB7C1D2A}" xr6:coauthVersionLast="47" xr6:coauthVersionMax="47" xr10:uidLastSave="{00000000-0000-0000-0000-000000000000}"/>
  <bookViews>
    <workbookView xWindow="20" yWindow="20" windowWidth="25580" windowHeight="15260" firstSheet="1" activeTab="4" xr2:uid="{40E5C6C2-CD45-4E22-A908-85366928ED79}"/>
  </bookViews>
  <sheets>
    <sheet name="Whittaker's Beta diversity" sheetId="10" r:id="rId1"/>
    <sheet name="River segment and richness" sheetId="7" r:id="rId2"/>
    <sheet name="Strahler River Area" sheetId="3" r:id="rId3"/>
    <sheet name="Strahler River Volume" sheetId="2" r:id="rId4"/>
    <sheet name="Strahler River Lengt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AQ3" i="3"/>
  <c r="AQ4" i="3"/>
  <c r="AQ5" i="3"/>
  <c r="AQ6" i="3"/>
  <c r="AQ7" i="3"/>
  <c r="AQ8" i="3"/>
  <c r="AQ9" i="3"/>
  <c r="AQ10" i="3"/>
  <c r="AQ2" i="3"/>
  <c r="AJ3" i="3"/>
  <c r="AJ4" i="3"/>
  <c r="AJ5" i="3"/>
  <c r="AJ6" i="3"/>
  <c r="AJ7" i="3"/>
  <c r="AJ8" i="3"/>
  <c r="AJ9" i="3"/>
  <c r="AJ10" i="3"/>
  <c r="AJ11" i="3"/>
  <c r="AJ2" i="3"/>
  <c r="B23" i="3"/>
  <c r="B26" i="3" s="1"/>
  <c r="B22" i="3"/>
  <c r="B25" i="3" s="1"/>
  <c r="B25" i="2"/>
  <c r="B24" i="2"/>
  <c r="B27" i="2" s="1"/>
  <c r="L22" i="2"/>
  <c r="B28" i="2" s="1"/>
  <c r="C16" i="2"/>
  <c r="D16" i="2"/>
  <c r="E16" i="2"/>
  <c r="F16" i="2"/>
  <c r="G16" i="2"/>
  <c r="H16" i="2"/>
  <c r="I16" i="2"/>
  <c r="J16" i="2"/>
  <c r="K16" i="2"/>
  <c r="B16" i="2"/>
  <c r="B24" i="4"/>
  <c r="B23" i="4"/>
  <c r="B21" i="4"/>
  <c r="B20" i="4"/>
  <c r="L19" i="4"/>
  <c r="W87" i="10"/>
  <c r="W88" i="10"/>
  <c r="W89" i="10"/>
  <c r="W90" i="10"/>
  <c r="W86" i="10"/>
  <c r="W85" i="10"/>
  <c r="I66" i="10"/>
  <c r="W43" i="10" s="1"/>
  <c r="J66" i="10"/>
  <c r="W44" i="10" s="1"/>
  <c r="X44" i="10" s="1"/>
  <c r="K66" i="10"/>
  <c r="L66" i="10"/>
  <c r="M66" i="10"/>
  <c r="W47" i="10" s="1"/>
  <c r="X47" i="10" s="1"/>
  <c r="N66" i="10"/>
  <c r="O66" i="10"/>
  <c r="P66" i="10"/>
  <c r="W50" i="10" s="1"/>
  <c r="X50" i="10" s="1"/>
  <c r="Q66" i="10"/>
  <c r="W51" i="10" s="1"/>
  <c r="X51" i="10" s="1"/>
  <c r="R66" i="10"/>
  <c r="X31" i="10"/>
  <c r="X32" i="10"/>
  <c r="X33" i="10"/>
  <c r="X34" i="10"/>
  <c r="X35" i="10"/>
  <c r="X36" i="10"/>
  <c r="X37" i="10"/>
  <c r="X38" i="10"/>
  <c r="X39" i="10"/>
  <c r="X30" i="10"/>
  <c r="W66" i="10"/>
  <c r="W65" i="10"/>
  <c r="W64" i="10"/>
  <c r="W63" i="10"/>
  <c r="X63" i="10" s="1"/>
  <c r="W62" i="10"/>
  <c r="X62" i="10" s="1"/>
  <c r="W61" i="10"/>
  <c r="W60" i="10"/>
  <c r="W59" i="10"/>
  <c r="W58" i="10"/>
  <c r="W57" i="10"/>
  <c r="X60" i="10" s="1"/>
  <c r="W52" i="10"/>
  <c r="X52" i="10" s="1"/>
  <c r="W49" i="10"/>
  <c r="W48" i="10"/>
  <c r="W46" i="10"/>
  <c r="W45" i="10"/>
  <c r="C16" i="3"/>
  <c r="D16" i="3"/>
  <c r="E16" i="3"/>
  <c r="F16" i="3"/>
  <c r="G16" i="3"/>
  <c r="H16" i="3"/>
  <c r="I16" i="3"/>
  <c r="J16" i="3"/>
  <c r="K16" i="3"/>
  <c r="B16" i="3"/>
  <c r="K16" i="4"/>
  <c r="J16" i="4"/>
  <c r="I16" i="4"/>
  <c r="H16" i="4"/>
  <c r="G16" i="4"/>
  <c r="F16" i="4"/>
  <c r="E16" i="4"/>
  <c r="D16" i="4"/>
  <c r="C16" i="4"/>
  <c r="B16" i="4"/>
  <c r="L57" i="10"/>
  <c r="N31" i="10"/>
  <c r="R10" i="10"/>
  <c r="T4" i="10"/>
  <c r="T6" i="10" s="1"/>
  <c r="P17" i="10"/>
  <c r="P19" i="10" s="1"/>
  <c r="N29" i="10"/>
  <c r="L55" i="10"/>
  <c r="J32" i="10"/>
  <c r="J34" i="10" s="1"/>
  <c r="R8" i="10"/>
  <c r="I15" i="7"/>
  <c r="I16" i="7"/>
  <c r="I17" i="7"/>
  <c r="I18" i="7"/>
  <c r="I19" i="7"/>
  <c r="I22" i="7"/>
  <c r="I43" i="7"/>
  <c r="I23" i="7"/>
  <c r="I44" i="7"/>
  <c r="I39" i="7"/>
  <c r="I24" i="7"/>
  <c r="I40" i="7"/>
  <c r="I25" i="7"/>
  <c r="I26" i="7"/>
  <c r="I27" i="7"/>
  <c r="I28" i="7"/>
  <c r="I29" i="7"/>
  <c r="I42" i="7"/>
  <c r="I30" i="7"/>
  <c r="I41" i="7"/>
  <c r="I45" i="7"/>
  <c r="I46" i="7"/>
  <c r="I47" i="7"/>
  <c r="I31" i="7"/>
  <c r="I32" i="7"/>
  <c r="I33" i="7"/>
  <c r="I34" i="7"/>
  <c r="I35" i="7"/>
  <c r="I36" i="7"/>
  <c r="I37" i="7"/>
  <c r="I38" i="7"/>
  <c r="I48" i="7"/>
  <c r="I49" i="7"/>
  <c r="I50" i="7"/>
  <c r="I51" i="7"/>
  <c r="I52" i="7"/>
  <c r="I93" i="7"/>
  <c r="I80" i="7"/>
  <c r="I94" i="7"/>
  <c r="I86" i="7"/>
  <c r="I54" i="7"/>
  <c r="I90" i="7"/>
  <c r="I87" i="7"/>
  <c r="I55" i="7"/>
  <c r="I81" i="7"/>
  <c r="I82" i="7"/>
  <c r="I56" i="7"/>
  <c r="I95" i="7"/>
  <c r="I57" i="7"/>
  <c r="I58" i="7"/>
  <c r="I59" i="7"/>
  <c r="I83" i="7"/>
  <c r="I60" i="7"/>
  <c r="I61" i="7"/>
  <c r="I88" i="7"/>
  <c r="I62" i="7"/>
  <c r="I63" i="7"/>
  <c r="I84" i="7"/>
  <c r="I96" i="7"/>
  <c r="I91" i="7"/>
  <c r="I64" i="7"/>
  <c r="I65" i="7"/>
  <c r="I66" i="7"/>
  <c r="I67" i="7"/>
  <c r="I68" i="7"/>
  <c r="I69" i="7"/>
  <c r="I70" i="7"/>
  <c r="I97" i="7"/>
  <c r="I71" i="7"/>
  <c r="I85" i="7"/>
  <c r="I92" i="7"/>
  <c r="I99" i="7"/>
  <c r="I72" i="7"/>
  <c r="I73" i="7"/>
  <c r="I74" i="7"/>
  <c r="I75" i="7"/>
  <c r="I89" i="7"/>
  <c r="I76" i="7"/>
  <c r="I77" i="7"/>
  <c r="I98" i="7"/>
  <c r="I78" i="7"/>
  <c r="I79" i="7"/>
  <c r="I100" i="7"/>
  <c r="I101" i="7"/>
  <c r="I122" i="7"/>
  <c r="I102" i="7"/>
  <c r="I123" i="7"/>
  <c r="I118" i="7"/>
  <c r="I113" i="7"/>
  <c r="I103" i="7"/>
  <c r="I53" i="7"/>
  <c r="I119" i="7"/>
  <c r="I114" i="7"/>
  <c r="I104" i="7"/>
  <c r="I105" i="7"/>
  <c r="I121" i="7"/>
  <c r="I115" i="7"/>
  <c r="I120" i="7"/>
  <c r="I106" i="7"/>
  <c r="I116" i="7"/>
  <c r="I124" i="7"/>
  <c r="I107" i="7"/>
  <c r="I108" i="7"/>
  <c r="I109" i="7"/>
  <c r="I126" i="7"/>
  <c r="I127" i="7"/>
  <c r="I117" i="7"/>
  <c r="I110" i="7"/>
  <c r="I111" i="7"/>
  <c r="I125" i="7"/>
  <c r="I128" i="7"/>
  <c r="I112" i="7"/>
  <c r="I21" i="7"/>
  <c r="I6" i="7"/>
  <c r="I8" i="7"/>
  <c r="I9" i="7"/>
  <c r="I10" i="7"/>
  <c r="I11" i="7"/>
  <c r="I12" i="7"/>
  <c r="I13" i="7"/>
  <c r="I14" i="7"/>
  <c r="I20" i="7"/>
  <c r="I3" i="7"/>
  <c r="I4" i="7"/>
  <c r="I5" i="7"/>
  <c r="I7" i="7"/>
  <c r="I2" i="7"/>
  <c r="G105" i="7"/>
  <c r="G121" i="7"/>
  <c r="G115" i="7"/>
  <c r="G120" i="7"/>
  <c r="G106" i="7"/>
  <c r="G116" i="7"/>
  <c r="G124" i="7"/>
  <c r="G107" i="7"/>
  <c r="G108" i="7"/>
  <c r="G109" i="7"/>
  <c r="G126" i="7"/>
  <c r="G127" i="7"/>
  <c r="G117" i="7"/>
  <c r="G110" i="7"/>
  <c r="G111" i="7"/>
  <c r="G125" i="7"/>
  <c r="G128" i="7"/>
  <c r="G112" i="7"/>
  <c r="G76" i="7"/>
  <c r="G77" i="7"/>
  <c r="G98" i="7"/>
  <c r="G78" i="7"/>
  <c r="G79" i="7"/>
  <c r="G100" i="7"/>
  <c r="G101" i="7"/>
  <c r="G122" i="7"/>
  <c r="G102" i="7"/>
  <c r="G123" i="7"/>
  <c r="G118" i="7"/>
  <c r="G113" i="7"/>
  <c r="G103" i="7"/>
  <c r="G53" i="7"/>
  <c r="G119" i="7"/>
  <c r="G114" i="7"/>
  <c r="G104" i="7"/>
  <c r="G63" i="7"/>
  <c r="G84" i="7"/>
  <c r="G96" i="7"/>
  <c r="G91" i="7"/>
  <c r="G64" i="7"/>
  <c r="G65" i="7"/>
  <c r="G66" i="7"/>
  <c r="G67" i="7"/>
  <c r="G68" i="7"/>
  <c r="G69" i="7"/>
  <c r="G70" i="7"/>
  <c r="G97" i="7"/>
  <c r="G71" i="7"/>
  <c r="G85" i="7"/>
  <c r="G92" i="7"/>
  <c r="G99" i="7"/>
  <c r="G72" i="7"/>
  <c r="G73" i="7"/>
  <c r="G74" i="7"/>
  <c r="G75" i="7"/>
  <c r="G89" i="7"/>
  <c r="G87" i="7"/>
  <c r="G55" i="7"/>
  <c r="G81" i="7"/>
  <c r="G82" i="7"/>
  <c r="G56" i="7"/>
  <c r="G95" i="7"/>
  <c r="G57" i="7"/>
  <c r="G58" i="7"/>
  <c r="G59" i="7"/>
  <c r="G83" i="7"/>
  <c r="G60" i="7"/>
  <c r="G61" i="7"/>
  <c r="G88" i="7"/>
  <c r="G62" i="7"/>
  <c r="G31" i="7"/>
  <c r="G32" i="7"/>
  <c r="G33" i="7"/>
  <c r="G34" i="7"/>
  <c r="G35" i="7"/>
  <c r="G36" i="7"/>
  <c r="G37" i="7"/>
  <c r="G38" i="7"/>
  <c r="G48" i="7"/>
  <c r="G49" i="7"/>
  <c r="G50" i="7"/>
  <c r="G51" i="7"/>
  <c r="G52" i="7"/>
  <c r="G93" i="7"/>
  <c r="G80" i="7"/>
  <c r="G94" i="7"/>
  <c r="G86" i="7"/>
  <c r="G54" i="7"/>
  <c r="G90" i="7"/>
  <c r="G15" i="7"/>
  <c r="G16" i="7"/>
  <c r="G17" i="7"/>
  <c r="G18" i="7"/>
  <c r="G19" i="7"/>
  <c r="G22" i="7"/>
  <c r="G43" i="7"/>
  <c r="G23" i="7"/>
  <c r="G44" i="7"/>
  <c r="G39" i="7"/>
  <c r="G24" i="7"/>
  <c r="G40" i="7"/>
  <c r="G25" i="7"/>
  <c r="G26" i="7"/>
  <c r="G27" i="7"/>
  <c r="G28" i="7"/>
  <c r="G29" i="7"/>
  <c r="G42" i="7"/>
  <c r="G30" i="7"/>
  <c r="G41" i="7"/>
  <c r="G45" i="7"/>
  <c r="G46" i="7"/>
  <c r="G47" i="7"/>
  <c r="G3" i="7"/>
  <c r="G4" i="7"/>
  <c r="G5" i="7"/>
  <c r="G7" i="7"/>
  <c r="G6" i="7"/>
  <c r="G8" i="7"/>
  <c r="G9" i="7"/>
  <c r="G10" i="7"/>
  <c r="G11" i="7"/>
  <c r="G12" i="7"/>
  <c r="G13" i="7"/>
  <c r="G14" i="7"/>
  <c r="G20" i="7"/>
  <c r="G21" i="7"/>
  <c r="G2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M4" i="4"/>
  <c r="M5" i="4"/>
  <c r="M6" i="4"/>
  <c r="M7" i="4"/>
  <c r="M8" i="4"/>
  <c r="M9" i="4"/>
  <c r="M10" i="4"/>
  <c r="M11" i="4"/>
  <c r="M12" i="4"/>
  <c r="M13" i="4"/>
  <c r="M14" i="4"/>
  <c r="M15" i="4"/>
  <c r="L16" i="4"/>
  <c r="X4" i="4"/>
  <c r="P5" i="4"/>
  <c r="Q5" i="4"/>
  <c r="U5" i="4"/>
  <c r="V5" i="4"/>
  <c r="Q6" i="4"/>
  <c r="X6" i="4"/>
  <c r="S8" i="4"/>
  <c r="T8" i="4"/>
  <c r="U8" i="4"/>
  <c r="V8" i="4"/>
  <c r="X8" i="4"/>
  <c r="P9" i="4"/>
  <c r="Q9" i="4"/>
  <c r="R9" i="4"/>
  <c r="U9" i="4"/>
  <c r="V9" i="4"/>
  <c r="S10" i="4"/>
  <c r="T10" i="4"/>
  <c r="X10" i="4"/>
  <c r="P11" i="4"/>
  <c r="T11" i="4"/>
  <c r="P13" i="4"/>
  <c r="Q13" i="4"/>
  <c r="R13" i="4"/>
  <c r="V13" i="4"/>
  <c r="W13" i="4"/>
  <c r="X13" i="4"/>
  <c r="P14" i="4"/>
  <c r="S14" i="4"/>
  <c r="T14" i="4"/>
  <c r="U14" i="4"/>
  <c r="X14" i="4"/>
  <c r="P15" i="4"/>
  <c r="V15" i="4"/>
  <c r="W15" i="4"/>
  <c r="O10" i="4"/>
  <c r="O11" i="4"/>
  <c r="R4" i="2"/>
  <c r="S4" i="2"/>
  <c r="U4" i="2"/>
  <c r="V4" i="2"/>
  <c r="W4" i="2"/>
  <c r="X4" i="2"/>
  <c r="W5" i="2"/>
  <c r="X5" i="2"/>
  <c r="T6" i="2"/>
  <c r="R7" i="2"/>
  <c r="U7" i="2"/>
  <c r="V7" i="2"/>
  <c r="X7" i="2"/>
  <c r="Y7" i="2"/>
  <c r="P8" i="2"/>
  <c r="W10" i="2"/>
  <c r="X10" i="2"/>
  <c r="Y10" i="2"/>
  <c r="R11" i="2"/>
  <c r="T12" i="2"/>
  <c r="R14" i="2"/>
  <c r="S14" i="2"/>
  <c r="T14" i="2"/>
  <c r="Y15" i="2"/>
  <c r="Q3" i="2"/>
  <c r="V5" i="3"/>
  <c r="W5" i="3"/>
  <c r="X5" i="3"/>
  <c r="P6" i="3"/>
  <c r="Q6" i="3"/>
  <c r="U6" i="3"/>
  <c r="V6" i="3"/>
  <c r="W6" i="3"/>
  <c r="X7" i="3"/>
  <c r="Q8" i="3"/>
  <c r="P10" i="3"/>
  <c r="Q10" i="3"/>
  <c r="R10" i="3"/>
  <c r="S10" i="3"/>
  <c r="S11" i="3"/>
  <c r="T11" i="3"/>
  <c r="U11" i="3"/>
  <c r="V11" i="3"/>
  <c r="W11" i="3"/>
  <c r="S13" i="3"/>
  <c r="T13" i="3"/>
  <c r="U13" i="3"/>
  <c r="V13" i="3"/>
  <c r="W13" i="3"/>
  <c r="X13" i="3"/>
  <c r="T15" i="3"/>
  <c r="U15" i="3"/>
  <c r="V15" i="3"/>
  <c r="O6" i="3"/>
  <c r="O11" i="3"/>
  <c r="O12" i="3"/>
  <c r="O13" i="3"/>
  <c r="O14" i="3"/>
  <c r="O15" i="3"/>
  <c r="O3" i="3"/>
  <c r="L4" i="3"/>
  <c r="O4" i="3" s="1"/>
  <c r="L5" i="3"/>
  <c r="Q5" i="3" s="1"/>
  <c r="L6" i="3"/>
  <c r="X6" i="3" s="1"/>
  <c r="L7" i="3"/>
  <c r="P7" i="3" s="1"/>
  <c r="L8" i="3"/>
  <c r="W8" i="3" s="1"/>
  <c r="L9" i="3"/>
  <c r="P9" i="3" s="1"/>
  <c r="L10" i="3"/>
  <c r="T10" i="3" s="1"/>
  <c r="L11" i="3"/>
  <c r="P11" i="3" s="1"/>
  <c r="L12" i="3"/>
  <c r="R12" i="3" s="1"/>
  <c r="L13" i="3"/>
  <c r="P13" i="3" s="1"/>
  <c r="L14" i="3"/>
  <c r="P14" i="3" s="1"/>
  <c r="L15" i="3"/>
  <c r="W15" i="3" s="1"/>
  <c r="L3" i="3"/>
  <c r="S3" i="3" s="1"/>
  <c r="L4" i="4"/>
  <c r="O4" i="4" s="1"/>
  <c r="L5" i="4"/>
  <c r="R5" i="4" s="1"/>
  <c r="L6" i="4"/>
  <c r="O6" i="4" s="1"/>
  <c r="L7" i="4"/>
  <c r="P7" i="4" s="1"/>
  <c r="L8" i="4"/>
  <c r="W8" i="4" s="1"/>
  <c r="L9" i="4"/>
  <c r="S9" i="4" s="1"/>
  <c r="L10" i="4"/>
  <c r="U10" i="4" s="1"/>
  <c r="L11" i="4"/>
  <c r="Q11" i="4" s="1"/>
  <c r="L12" i="4"/>
  <c r="S12" i="4" s="1"/>
  <c r="L13" i="4"/>
  <c r="S13" i="4" s="1"/>
  <c r="L14" i="4"/>
  <c r="Q14" i="4" s="1"/>
  <c r="L15" i="4"/>
  <c r="X15" i="4" s="1"/>
  <c r="L3" i="4"/>
  <c r="P3" i="4" s="1"/>
  <c r="L4" i="2"/>
  <c r="Y4" i="2" s="1"/>
  <c r="L5" i="2"/>
  <c r="S5" i="2" s="1"/>
  <c r="L6" i="2"/>
  <c r="U6" i="2" s="1"/>
  <c r="L7" i="2"/>
  <c r="P7" i="2" s="1"/>
  <c r="L8" i="2"/>
  <c r="Q8" i="2" s="1"/>
  <c r="L9" i="2"/>
  <c r="W9" i="2" s="1"/>
  <c r="L10" i="2"/>
  <c r="R10" i="2" s="1"/>
  <c r="L11" i="2"/>
  <c r="S11" i="2" s="1"/>
  <c r="L12" i="2"/>
  <c r="Y12" i="2" s="1"/>
  <c r="L13" i="2"/>
  <c r="S13" i="2" s="1"/>
  <c r="L14" i="2"/>
  <c r="U14" i="2" s="1"/>
  <c r="L15" i="2"/>
  <c r="Q15" i="2" s="1"/>
  <c r="L3" i="2"/>
  <c r="R3" i="2" s="1"/>
  <c r="D27" i="2" l="1"/>
  <c r="Q11" i="2"/>
  <c r="V5" i="2"/>
  <c r="P11" i="2"/>
  <c r="W7" i="2"/>
  <c r="U5" i="2"/>
  <c r="L16" i="2"/>
  <c r="T7" i="2"/>
  <c r="T5" i="2"/>
  <c r="V10" i="2"/>
  <c r="S7" i="2"/>
  <c r="U9" i="2"/>
  <c r="Q7" i="2"/>
  <c r="T4" i="2"/>
  <c r="M13" i="2"/>
  <c r="M12" i="2"/>
  <c r="S9" i="2"/>
  <c r="S6" i="2"/>
  <c r="X12" i="2"/>
  <c r="R9" i="2"/>
  <c r="R6" i="2"/>
  <c r="Q4" i="2"/>
  <c r="M10" i="2"/>
  <c r="V9" i="2"/>
  <c r="T9" i="2"/>
  <c r="W12" i="2"/>
  <c r="Q9" i="2"/>
  <c r="Q6" i="2"/>
  <c r="P4" i="2"/>
  <c r="M9" i="2"/>
  <c r="V12" i="2"/>
  <c r="P9" i="2"/>
  <c r="P6" i="2"/>
  <c r="U12" i="2"/>
  <c r="Y8" i="2"/>
  <c r="Y5" i="2"/>
  <c r="V8" i="3"/>
  <c r="U8" i="3"/>
  <c r="T8" i="3"/>
  <c r="T6" i="3"/>
  <c r="S15" i="3"/>
  <c r="S8" i="3"/>
  <c r="S6" i="3"/>
  <c r="R15" i="3"/>
  <c r="R11" i="3"/>
  <c r="R8" i="3"/>
  <c r="R6" i="3"/>
  <c r="M9" i="3"/>
  <c r="Y6" i="3"/>
  <c r="X9" i="3"/>
  <c r="U7" i="3"/>
  <c r="O10" i="3"/>
  <c r="R13" i="3"/>
  <c r="V9" i="3"/>
  <c r="T7" i="3"/>
  <c r="R3" i="3"/>
  <c r="L16" i="3"/>
  <c r="W7" i="3"/>
  <c r="P5" i="3"/>
  <c r="O9" i="3"/>
  <c r="Q12" i="3"/>
  <c r="U9" i="3"/>
  <c r="S7" i="3"/>
  <c r="Q3" i="3"/>
  <c r="M3" i="3"/>
  <c r="R9" i="3"/>
  <c r="P8" i="3"/>
  <c r="V7" i="3"/>
  <c r="W9" i="3"/>
  <c r="O8" i="3"/>
  <c r="P12" i="3"/>
  <c r="T9" i="3"/>
  <c r="R7" i="3"/>
  <c r="P3" i="3"/>
  <c r="O7" i="3"/>
  <c r="X11" i="3"/>
  <c r="S9" i="3"/>
  <c r="M15" i="3"/>
  <c r="X58" i="10"/>
  <c r="X59" i="10"/>
  <c r="X45" i="10"/>
  <c r="X64" i="10"/>
  <c r="X46" i="10"/>
  <c r="X65" i="10"/>
  <c r="X66" i="10"/>
  <c r="X48" i="10"/>
  <c r="X49" i="10"/>
  <c r="X61" i="10"/>
  <c r="X43" i="10"/>
  <c r="X57" i="10"/>
  <c r="W16" i="3"/>
  <c r="X16" i="3"/>
  <c r="V16" i="3"/>
  <c r="W4" i="3"/>
  <c r="P15" i="3"/>
  <c r="S4" i="3"/>
  <c r="Q13" i="3"/>
  <c r="Y13" i="3" s="1"/>
  <c r="P4" i="3"/>
  <c r="X4" i="3"/>
  <c r="V4" i="3"/>
  <c r="U4" i="3"/>
  <c r="Q15" i="3"/>
  <c r="T4" i="3"/>
  <c r="R4" i="3"/>
  <c r="Q4" i="3"/>
  <c r="V14" i="3"/>
  <c r="X12" i="3"/>
  <c r="Q11" i="3"/>
  <c r="U14" i="3"/>
  <c r="W12" i="3"/>
  <c r="X3" i="3"/>
  <c r="T14" i="3"/>
  <c r="V12" i="3"/>
  <c r="X10" i="3"/>
  <c r="Q9" i="3"/>
  <c r="Y9" i="3" s="1"/>
  <c r="U5" i="3"/>
  <c r="W3" i="3"/>
  <c r="O5" i="3"/>
  <c r="S14" i="3"/>
  <c r="U12" i="3"/>
  <c r="W10" i="3"/>
  <c r="T5" i="3"/>
  <c r="V3" i="3"/>
  <c r="R14" i="3"/>
  <c r="T12" i="3"/>
  <c r="V10" i="3"/>
  <c r="X8" i="3"/>
  <c r="Q7" i="3"/>
  <c r="S5" i="3"/>
  <c r="U3" i="3"/>
  <c r="X15" i="3"/>
  <c r="Q14" i="3"/>
  <c r="S12" i="3"/>
  <c r="U10" i="3"/>
  <c r="R5" i="3"/>
  <c r="T3" i="3"/>
  <c r="X14" i="3"/>
  <c r="W14" i="3"/>
  <c r="U15" i="2"/>
  <c r="T15" i="2"/>
  <c r="W15" i="2"/>
  <c r="V15" i="2"/>
  <c r="S15" i="2"/>
  <c r="Y3" i="2"/>
  <c r="W3" i="2"/>
  <c r="X11" i="2"/>
  <c r="V8" i="2"/>
  <c r="U3" i="2"/>
  <c r="R13" i="2"/>
  <c r="P10" i="2"/>
  <c r="T8" i="2"/>
  <c r="X6" i="2"/>
  <c r="R5" i="2"/>
  <c r="X15" i="2"/>
  <c r="R12" i="2"/>
  <c r="P3" i="2"/>
  <c r="Q12" i="2"/>
  <c r="U10" i="2"/>
  <c r="P12" i="2"/>
  <c r="X3" i="2"/>
  <c r="Y11" i="2"/>
  <c r="W8" i="2"/>
  <c r="V3" i="2"/>
  <c r="Q10" i="2"/>
  <c r="T3" i="2"/>
  <c r="W14" i="2"/>
  <c r="Q13" i="2"/>
  <c r="U11" i="2"/>
  <c r="Y9" i="2"/>
  <c r="S8" i="2"/>
  <c r="W6" i="2"/>
  <c r="Q5" i="2"/>
  <c r="P14" i="2"/>
  <c r="S12" i="2"/>
  <c r="R15" i="2"/>
  <c r="T10" i="2"/>
  <c r="X8" i="2"/>
  <c r="U13" i="2"/>
  <c r="S10" i="2"/>
  <c r="P15" i="2"/>
  <c r="V11" i="2"/>
  <c r="S3" i="2"/>
  <c r="V14" i="2"/>
  <c r="P13" i="2"/>
  <c r="T11" i="2"/>
  <c r="X9" i="2"/>
  <c r="R8" i="2"/>
  <c r="V6" i="2"/>
  <c r="P5" i="2"/>
  <c r="Q14" i="2"/>
  <c r="Y13" i="2"/>
  <c r="X13" i="2"/>
  <c r="W13" i="2"/>
  <c r="V13" i="2"/>
  <c r="T13" i="2"/>
  <c r="Y14" i="2"/>
  <c r="W11" i="2"/>
  <c r="U8" i="2"/>
  <c r="Y6" i="2"/>
  <c r="X14" i="2"/>
  <c r="R12" i="4"/>
  <c r="Q12" i="4"/>
  <c r="U15" i="4"/>
  <c r="V6" i="4"/>
  <c r="T15" i="4"/>
  <c r="U6" i="4"/>
  <c r="W4" i="4"/>
  <c r="O14" i="4"/>
  <c r="S15" i="4"/>
  <c r="U13" i="4"/>
  <c r="W11" i="4"/>
  <c r="P10" i="4"/>
  <c r="R8" i="4"/>
  <c r="T6" i="4"/>
  <c r="V4" i="4"/>
  <c r="U4" i="4"/>
  <c r="W6" i="4"/>
  <c r="O3" i="4"/>
  <c r="P12" i="4"/>
  <c r="R10" i="4"/>
  <c r="O15" i="4"/>
  <c r="X11" i="4"/>
  <c r="Q10" i="4"/>
  <c r="O13" i="4"/>
  <c r="R15" i="4"/>
  <c r="T13" i="4"/>
  <c r="V11" i="4"/>
  <c r="X9" i="4"/>
  <c r="Q8" i="4"/>
  <c r="S6" i="4"/>
  <c r="O12" i="4"/>
  <c r="Q15" i="4"/>
  <c r="U11" i="4"/>
  <c r="W9" i="4"/>
  <c r="P8" i="4"/>
  <c r="R6" i="4"/>
  <c r="T4" i="4"/>
  <c r="S4" i="4"/>
  <c r="R4" i="4"/>
  <c r="Q4" i="4"/>
  <c r="X7" i="4"/>
  <c r="S11" i="4"/>
  <c r="W7" i="4"/>
  <c r="P6" i="4"/>
  <c r="O9" i="4"/>
  <c r="W14" i="4"/>
  <c r="R11" i="4"/>
  <c r="T9" i="4"/>
  <c r="V7" i="4"/>
  <c r="X5" i="4"/>
  <c r="O8" i="4"/>
  <c r="V14" i="4"/>
  <c r="X12" i="4"/>
  <c r="U7" i="4"/>
  <c r="W5" i="4"/>
  <c r="P4" i="4"/>
  <c r="X3" i="4"/>
  <c r="W3" i="4"/>
  <c r="V3" i="4"/>
  <c r="U3" i="4"/>
  <c r="O7" i="4"/>
  <c r="W12" i="4"/>
  <c r="T7" i="4"/>
  <c r="V12" i="4"/>
  <c r="S7" i="4"/>
  <c r="O5" i="4"/>
  <c r="U12" i="4"/>
  <c r="W10" i="4"/>
  <c r="R7" i="4"/>
  <c r="T5" i="4"/>
  <c r="R14" i="4"/>
  <c r="T12" i="4"/>
  <c r="V10" i="4"/>
  <c r="Q7" i="4"/>
  <c r="S5" i="4"/>
  <c r="T3" i="4"/>
  <c r="S3" i="4"/>
  <c r="R3" i="4"/>
  <c r="Q3" i="4"/>
  <c r="V16" i="2" l="1"/>
  <c r="M14" i="2"/>
  <c r="M15" i="2"/>
  <c r="M16" i="2"/>
  <c r="M5" i="2"/>
  <c r="M6" i="2"/>
  <c r="M3" i="2"/>
  <c r="W16" i="2"/>
  <c r="M4" i="2"/>
  <c r="X16" i="2"/>
  <c r="Y16" i="2"/>
  <c r="M8" i="2"/>
  <c r="M11" i="2"/>
  <c r="M7" i="2"/>
  <c r="Y4" i="3"/>
  <c r="Y8" i="3"/>
  <c r="Y10" i="3"/>
  <c r="Y11" i="3"/>
  <c r="Y7" i="3"/>
  <c r="Y15" i="3"/>
  <c r="Y12" i="3"/>
  <c r="Y14" i="3"/>
  <c r="Y3" i="3"/>
  <c r="U16" i="3"/>
  <c r="M16" i="3"/>
  <c r="M5" i="3"/>
  <c r="M4" i="3"/>
  <c r="M6" i="3"/>
  <c r="M7" i="3"/>
  <c r="M8" i="3"/>
  <c r="M10" i="3"/>
  <c r="M11" i="3"/>
  <c r="M12" i="3"/>
  <c r="M13" i="3"/>
  <c r="M14" i="3"/>
  <c r="Y5" i="3"/>
  <c r="AB129" i="10" l="1"/>
  <c r="AB129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<sst xmlns="http://schemas.openxmlformats.org/spreadsheetml/2006/main" count="923" uniqueCount="273">
  <si>
    <t>Southern Cone</t>
  </si>
  <si>
    <t>Titicaca</t>
  </si>
  <si>
    <t>Parana Paraguay</t>
  </si>
  <si>
    <t>Magdalena</t>
  </si>
  <si>
    <t>Maracaibo-Carribean</t>
  </si>
  <si>
    <t>North East Atlantic</t>
  </si>
  <si>
    <t xml:space="preserve">Orinoco </t>
  </si>
  <si>
    <t>Guianas</t>
  </si>
  <si>
    <t>Amazon</t>
  </si>
  <si>
    <t>Sum</t>
  </si>
  <si>
    <t>South East Atlantic</t>
  </si>
  <si>
    <t>Sao Francisco</t>
  </si>
  <si>
    <t>East Atlantic</t>
  </si>
  <si>
    <t>North West Pacific</t>
  </si>
  <si>
    <t xml:space="preserve">Proportion of total river volume in each stream order </t>
  </si>
  <si>
    <t>River Volume (thousand cubic meters) per stream order in each river basin</t>
  </si>
  <si>
    <t>River Area (hectares) for each stream order</t>
  </si>
  <si>
    <t>Strahler Order</t>
  </si>
  <si>
    <t>River Length (Kilometers) per stream order in each river basin</t>
  </si>
  <si>
    <t>riv_tc_csu</t>
  </si>
  <si>
    <t>ria_ha_csu</t>
  </si>
  <si>
    <t>SO</t>
  </si>
  <si>
    <t>Uaicurapa_7</t>
  </si>
  <si>
    <t>Demini_7</t>
  </si>
  <si>
    <t>Jauaperi_7</t>
  </si>
  <si>
    <t>Guapore_Mamore_6</t>
  </si>
  <si>
    <t>Mamore_sidechannel_6</t>
  </si>
  <si>
    <t>Negro_sidechannel_6</t>
  </si>
  <si>
    <t>Ucayali_6</t>
  </si>
  <si>
    <t>Amazon_sidechannel_6</t>
  </si>
  <si>
    <t>Napo_6</t>
  </si>
  <si>
    <t>Negro_sidechannel2_6</t>
  </si>
  <si>
    <t>Araguari_6</t>
  </si>
  <si>
    <t>Monagas_6</t>
  </si>
  <si>
    <t>Amazon_sidechannel2_6</t>
  </si>
  <si>
    <t>Tefe_6</t>
  </si>
  <si>
    <t>Parana_8</t>
  </si>
  <si>
    <t>Courantyne_7</t>
  </si>
  <si>
    <t>Purus_8</t>
  </si>
  <si>
    <t>Parana_sidechannel_6</t>
  </si>
  <si>
    <t>Purus_sidechannel_6</t>
  </si>
  <si>
    <t>Negro_sidechannel5_6</t>
  </si>
  <si>
    <t>Essequibo_6</t>
  </si>
  <si>
    <t>Orinoco_sidechannel_6</t>
  </si>
  <si>
    <t>Yata_sidechannel2_6</t>
  </si>
  <si>
    <t>Jamanxim_sidechannel_6</t>
  </si>
  <si>
    <t>Amazon_sidechannel4_6</t>
  </si>
  <si>
    <t>Amazon_sidechannel_5</t>
  </si>
  <si>
    <t>Amazon_sidechannel5_6</t>
  </si>
  <si>
    <t>Piorini_6</t>
  </si>
  <si>
    <t>Madeira_sidechannel_6</t>
  </si>
  <si>
    <t>Catatumbo_6</t>
  </si>
  <si>
    <t>PacificOcean_6</t>
  </si>
  <si>
    <t>Sogomoso_6</t>
  </si>
  <si>
    <t>Atrato_6</t>
  </si>
  <si>
    <t>Purus_sidechannel2_6</t>
  </si>
  <si>
    <t>Parana_sidechannel2_5</t>
  </si>
  <si>
    <t>Berbice_5</t>
  </si>
  <si>
    <t>Maranon_sidechannel_5</t>
  </si>
  <si>
    <t>Apure_sidechannel_5</t>
  </si>
  <si>
    <t>Suriname_5</t>
  </si>
  <si>
    <t>Arauca_5_2</t>
  </si>
  <si>
    <t>Tocantins_sidechannel_5</t>
  </si>
  <si>
    <t>Uruguay_sidechannel_5</t>
  </si>
  <si>
    <t>Laceiba_5</t>
  </si>
  <si>
    <t>Cauca_sidechannel_5</t>
  </si>
  <si>
    <t>Magdalena_sidechannel_5</t>
  </si>
  <si>
    <t>Upia_sidechannel_5</t>
  </si>
  <si>
    <t>Amazon_sidechannel2_5</t>
  </si>
  <si>
    <t>Atrato_sidechannel_5</t>
  </si>
  <si>
    <t>Ucayali_5</t>
  </si>
  <si>
    <t>Parana_sidechannel_7</t>
  </si>
  <si>
    <t>Essequibo_7</t>
  </si>
  <si>
    <t>Jutai_sidechannel_6</t>
  </si>
  <si>
    <t>Guaviare_sidechannel_6</t>
  </si>
  <si>
    <t>Yata_sidechannel_6</t>
  </si>
  <si>
    <t>Negro_sidechannel3_6</t>
  </si>
  <si>
    <t>Negro_sidechannel4_6</t>
  </si>
  <si>
    <t>Yata_sidechannel2_5</t>
  </si>
  <si>
    <t>Parana_sidechannel_5</t>
  </si>
  <si>
    <t>Branco2_6</t>
  </si>
  <si>
    <t>Jurua_6</t>
  </si>
  <si>
    <t>Essequibo_5</t>
  </si>
  <si>
    <t>Napo_subchannel_5</t>
  </si>
  <si>
    <t>Guama_5</t>
  </si>
  <si>
    <t>Oyapock_6</t>
  </si>
  <si>
    <t>Caroni_7</t>
  </si>
  <si>
    <t>Ucayali_sidechannel_7</t>
  </si>
  <si>
    <t>Branco_sidechannel_5</t>
  </si>
  <si>
    <t>Napo_sidechannel2_5</t>
  </si>
  <si>
    <t>Amazon_10</t>
  </si>
  <si>
    <t>Amazon_9</t>
  </si>
  <si>
    <t>Apuau_6</t>
  </si>
  <si>
    <t>Apure_6</t>
  </si>
  <si>
    <t>Apure_7</t>
  </si>
  <si>
    <t>Araguaui_8</t>
  </si>
  <si>
    <t>Arauca_6</t>
  </si>
  <si>
    <t>Beni_7</t>
  </si>
  <si>
    <t>Branco_8</t>
  </si>
  <si>
    <t>Cauca_6</t>
  </si>
  <si>
    <t>Curua_6</t>
  </si>
  <si>
    <t>Cuyuni_6</t>
  </si>
  <si>
    <t>Huallaga_7</t>
  </si>
  <si>
    <t>Itenez_8</t>
  </si>
  <si>
    <t>Japura_8</t>
  </si>
  <si>
    <t>Jurua_7</t>
  </si>
  <si>
    <t>Jutai_6</t>
  </si>
  <si>
    <t>Jutai_7</t>
  </si>
  <si>
    <t>Madeira_9</t>
  </si>
  <si>
    <t>Magdalena_6</t>
  </si>
  <si>
    <t>Magdalena_7</t>
  </si>
  <si>
    <t>Mamore_7</t>
  </si>
  <si>
    <t>Manacapuru_6</t>
  </si>
  <si>
    <t>Maranon_8</t>
  </si>
  <si>
    <t>Meta_7</t>
  </si>
  <si>
    <t>Nanay_6</t>
  </si>
  <si>
    <t>Negro_8</t>
  </si>
  <si>
    <t>Negro_9</t>
  </si>
  <si>
    <t>Orinoco_7</t>
  </si>
  <si>
    <t>Orinoco_8</t>
  </si>
  <si>
    <t>Orinoco_9</t>
  </si>
  <si>
    <t>Orthon_5</t>
  </si>
  <si>
    <t>Orthon_6</t>
  </si>
  <si>
    <t>Pastaza_6</t>
  </si>
  <si>
    <t>Putamayo_5</t>
  </si>
  <si>
    <t>Santiago_7</t>
  </si>
  <si>
    <t>Tapajos_8</t>
  </si>
  <si>
    <t>Tocantins_7</t>
  </si>
  <si>
    <t>Tocantins_9</t>
  </si>
  <si>
    <t>Tombelas_7</t>
  </si>
  <si>
    <t>Ucayali_8</t>
  </si>
  <si>
    <t>Upia_6</t>
  </si>
  <si>
    <t>Xingu_8</t>
  </si>
  <si>
    <t>Yata_7</t>
  </si>
  <si>
    <t>Yata_8</t>
  </si>
  <si>
    <t>River</t>
  </si>
  <si>
    <t>Stream Order</t>
  </si>
  <si>
    <t>Length (km)</t>
  </si>
  <si>
    <t>Area (hectares_csu)</t>
  </si>
  <si>
    <t>Area(square km)</t>
  </si>
  <si>
    <t>Volume (tc_csu) thousand cubic meter</t>
  </si>
  <si>
    <t>Volume (cubic km)</t>
  </si>
  <si>
    <t>Apteronotid Species Richness</t>
  </si>
  <si>
    <t>The Amazon River</t>
  </si>
  <si>
    <t>Orinoco</t>
  </si>
  <si>
    <t>The Orinoco</t>
  </si>
  <si>
    <t>The Negro River</t>
  </si>
  <si>
    <t>Tocantins</t>
  </si>
  <si>
    <t>Madeira</t>
  </si>
  <si>
    <t>Branco</t>
  </si>
  <si>
    <t>Ucayali</t>
  </si>
  <si>
    <t>Maranon</t>
  </si>
  <si>
    <t>Japura</t>
  </si>
  <si>
    <t>Xingu</t>
  </si>
  <si>
    <t>Purus</t>
  </si>
  <si>
    <t>Tapajos</t>
  </si>
  <si>
    <t>Araguaia</t>
  </si>
  <si>
    <t>Madre de Dios</t>
  </si>
  <si>
    <t>Yata</t>
  </si>
  <si>
    <t>Itenez</t>
  </si>
  <si>
    <t>Napo</t>
  </si>
  <si>
    <t>Caroni</t>
  </si>
  <si>
    <t>Beni</t>
  </si>
  <si>
    <t>Juruena</t>
  </si>
  <si>
    <t>Apure</t>
  </si>
  <si>
    <t>Cauca</t>
  </si>
  <si>
    <t>Meta</t>
  </si>
  <si>
    <t>Jurua</t>
  </si>
  <si>
    <t>Guapore</t>
  </si>
  <si>
    <t xml:space="preserve">Mamore </t>
  </si>
  <si>
    <t>Putumayo</t>
  </si>
  <si>
    <t>Guaviare</t>
  </si>
  <si>
    <t>Teles Pires</t>
  </si>
  <si>
    <t>Jamanxim</t>
  </si>
  <si>
    <t>Guiuanas</t>
  </si>
  <si>
    <t>Maroni-Lawa</t>
  </si>
  <si>
    <t>Jutai</t>
  </si>
  <si>
    <t>Santiago</t>
  </si>
  <si>
    <t>Araguari</t>
  </si>
  <si>
    <t>Huallaga</t>
  </si>
  <si>
    <t>Tombelas</t>
  </si>
  <si>
    <t>Jauaperi</t>
  </si>
  <si>
    <t>Parana</t>
  </si>
  <si>
    <t>Essequibo</t>
  </si>
  <si>
    <t>Paru</t>
  </si>
  <si>
    <t>Inirida</t>
  </si>
  <si>
    <t>Metica</t>
  </si>
  <si>
    <t>Upia</t>
  </si>
  <si>
    <t>Arauca</t>
  </si>
  <si>
    <t>Pastaza</t>
  </si>
  <si>
    <t>Cuyuni</t>
  </si>
  <si>
    <t>La Mana</t>
  </si>
  <si>
    <t>Oyapock</t>
  </si>
  <si>
    <t>Tampok</t>
  </si>
  <si>
    <t>Orthon</t>
  </si>
  <si>
    <t>Masparro</t>
  </si>
  <si>
    <t>Nanay</t>
  </si>
  <si>
    <t>Manacapuru</t>
  </si>
  <si>
    <t>Apuau</t>
  </si>
  <si>
    <t>Curua</t>
  </si>
  <si>
    <t>Maracaibo</t>
  </si>
  <si>
    <t>Catatumbo</t>
  </si>
  <si>
    <t>Jari</t>
  </si>
  <si>
    <t>Tefe</t>
  </si>
  <si>
    <t>Piorini</t>
  </si>
  <si>
    <t>Sogomoso</t>
  </si>
  <si>
    <t>Oelemarie</t>
  </si>
  <si>
    <t>Huamanu</t>
  </si>
  <si>
    <t>Maicuru</t>
  </si>
  <si>
    <t xml:space="preserve">Auraca </t>
  </si>
  <si>
    <t>Species richness</t>
  </si>
  <si>
    <t>Total</t>
  </si>
  <si>
    <t>River Basin (needs updated)</t>
  </si>
  <si>
    <t>River segment name</t>
  </si>
  <si>
    <t>absent</t>
  </si>
  <si>
    <t>Amazonsidechannel_3_7</t>
  </si>
  <si>
    <t>Madrededios_7</t>
  </si>
  <si>
    <t>Madrededios_8</t>
  </si>
  <si>
    <t>Maroni_Lawa_7</t>
  </si>
  <si>
    <t>TelesPire_7</t>
  </si>
  <si>
    <t>Lamana_6</t>
  </si>
  <si>
    <t>MadredeDios_sidechannel_6</t>
  </si>
  <si>
    <t>Branco_2_6</t>
  </si>
  <si>
    <t>Maronilawa_5</t>
  </si>
  <si>
    <t>Masparro_5</t>
  </si>
  <si>
    <t>Lamana_5</t>
  </si>
  <si>
    <t>Araguaia_5</t>
  </si>
  <si>
    <t>Masparro_6</t>
  </si>
  <si>
    <t>Maroni_lawa_6</t>
  </si>
  <si>
    <t>Parana-Paraguay</t>
  </si>
  <si>
    <t>Maracaibo-Caribbean</t>
  </si>
  <si>
    <t>NorthWest Pacific</t>
  </si>
  <si>
    <t xml:space="preserve">Total diversity = </t>
  </si>
  <si>
    <t>SO 5 richness</t>
  </si>
  <si>
    <t>SO 6 richness</t>
  </si>
  <si>
    <t>SO 7 richness</t>
  </si>
  <si>
    <t>SO 8 richness</t>
  </si>
  <si>
    <t>SO 9 richness</t>
  </si>
  <si>
    <t>SO 10 richness</t>
  </si>
  <si>
    <t>Beta diversity</t>
  </si>
  <si>
    <t>average diversity of N river segments</t>
  </si>
  <si>
    <t xml:space="preserve">Total diversity of all rivers = </t>
  </si>
  <si>
    <t>SO 4 richness</t>
  </si>
  <si>
    <t>SO 3 richness</t>
  </si>
  <si>
    <t>SO 2 richness</t>
  </si>
  <si>
    <t>SO 1 richness</t>
  </si>
  <si>
    <t>Alpha/Area</t>
  </si>
  <si>
    <t>Area (hectares)</t>
  </si>
  <si>
    <t>Area (square km)</t>
  </si>
  <si>
    <t>Normalized</t>
  </si>
  <si>
    <t>Alpha/length</t>
  </si>
  <si>
    <t>Normalized alpha/length</t>
  </si>
  <si>
    <t>Normalized Species richness</t>
  </si>
  <si>
    <t>normalized alpha/ length</t>
  </si>
  <si>
    <t xml:space="preserve">normalized beta </t>
  </si>
  <si>
    <t>Total length</t>
  </si>
  <si>
    <t>small terra firme streams</t>
  </si>
  <si>
    <t>deep river channels</t>
  </si>
  <si>
    <t>proportion terra firme streams</t>
  </si>
  <si>
    <t>proportion deep river channels</t>
  </si>
  <si>
    <t>Terra firme</t>
  </si>
  <si>
    <t>DRC</t>
  </si>
  <si>
    <t>Proportion TF</t>
  </si>
  <si>
    <t>Proportion DRC</t>
  </si>
  <si>
    <t>total</t>
  </si>
  <si>
    <t>TF</t>
  </si>
  <si>
    <t>DC</t>
  </si>
  <si>
    <t>P.TF</t>
  </si>
  <si>
    <t>P.DC</t>
  </si>
  <si>
    <t>Area (km2)</t>
  </si>
  <si>
    <t>Upland_SKM</t>
  </si>
  <si>
    <t>catch_SKM</t>
  </si>
  <si>
    <t>uplandxcatch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</si>
</sst>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9" borderId="2" applyNumberFormat="0" applyAlignment="0" applyProtection="0"/>
  </cellStyleXfs>
  <cellXfs count="10">
    <xf numFmtId="0" fontId="0" fillId="0" borderId="0" xfId="0"/>
    <xf numFmtId="0" fontId="2" fillId="2" borderId="1" xfId="1"/>
    <xf numFmtId="0" fontId="1" fillId="4" borderId="0" xfId="3"/>
    <xf numFmtId="0" fontId="1" fillId="6" borderId="0" xfId="5"/>
    <xf numFmtId="0" fontId="1" fillId="5" borderId="0" xfId="4"/>
    <xf numFmtId="0" fontId="3" fillId="8" borderId="0" xfId="6" applyFill="1"/>
    <xf numFmtId="0" fontId="4" fillId="9" borderId="2" xfId="7"/>
    <xf numFmtId="0" fontId="1" fillId="8" borderId="0" xfId="5" applyFill="1"/>
    <xf numFmtId="0" fontId="4" fillId="8" borderId="2" xfId="7" applyFill="1"/>
    <xf numFmtId="0" fontId="1" fillId="3" borderId="0" xfId="2" applyBorder="1"/>
  </cellXfs>
  <cellStyles count="8">
    <cellStyle name="20% - Accent1" xfId="3" builtinId="30"/>
    <cellStyle name="20% - Accent3" xfId="4" builtinId="38"/>
    <cellStyle name="20% - Accent4" xfId="5" builtinId="42"/>
    <cellStyle name="20% - Accent6" xfId="2" builtinId="50"/>
    <cellStyle name="Bad" xfId="6" builtinId="27"/>
    <cellStyle name="Calculation" xfId="7" builtinId="22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'Whittaker''s Beta diversity'!$W$2</c:f>
              <c:strCache>
                <c:ptCount val="1"/>
                <c:pt idx="0">
                  <c:v>Beta diversity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chemeClr val="tx1"/>
              </a:solidFill>
            </a:ln>
            <a:effectLst/>
          </c:spPr>
          <c:invertIfNegative val="0"/>
          <c:cat>
            <c:numRef>
              <c:f>'Whittaker''s Beta diversity'!$V$3:$V$8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'Whittaker''s Beta diversity'!$W$3:$W$8</c:f>
              <c:numCache>
                <c:formatCode>General</c:formatCode>
                <c:ptCount val="6"/>
                <c:pt idx="0">
                  <c:v>65.63</c:v>
                </c:pt>
                <c:pt idx="1">
                  <c:v>40.65</c:v>
                </c:pt>
                <c:pt idx="2">
                  <c:v>21.92</c:v>
                </c:pt>
                <c:pt idx="3">
                  <c:v>12.08</c:v>
                </c:pt>
                <c:pt idx="4">
                  <c:v>4.62</c:v>
                </c:pt>
                <c:pt idx="5">
                  <c:v>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8A8-BC9F-AA02C473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13"/>
        <c:axId val="137482720"/>
        <c:axId val="137483200"/>
      </c:barChart>
      <c:catAx>
        <c:axId val="13748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483200"/>
        <c:crosses val="autoZero"/>
        <c:auto val="1"/>
        <c:lblAlgn val="ctr"/>
        <c:lblOffset val="100"/>
        <c:noMultiLvlLbl val="0"/>
      </c:catAx>
      <c:valAx>
        <c:axId val="137483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48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'Whittaker''s Beta diversity'!$W$29</c:f>
              <c:strCache>
                <c:ptCount val="1"/>
                <c:pt idx="0">
                  <c:v>Species richness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'Whittaker''s Beta diversity'!$V$30:$V$39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cat>
          <c:val>
            <c:numRef>
              <c:f>'Whittaker''s Beta diversity'!$W$30:$W$39</c:f>
              <c:numCache>
                <c:formatCode>General</c:formatCode>
                <c:ptCount val="10"/>
                <c:pt idx="0">
                  <c:v>32</c:v>
                </c:pt>
                <c:pt idx="1">
                  <c:v>37</c:v>
                </c:pt>
                <c:pt idx="2">
                  <c:v>45</c:v>
                </c:pt>
                <c:pt idx="3">
                  <c:v>52</c:v>
                </c:pt>
                <c:pt idx="4">
                  <c:v>45</c:v>
                </c:pt>
                <c:pt idx="5">
                  <c:v>26</c:v>
                </c:pt>
                <c:pt idx="6">
                  <c:v>33</c:v>
                </c:pt>
                <c:pt idx="7">
                  <c:v>15</c:v>
                </c:pt>
                <c:pt idx="8">
                  <c:v>17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5-4005-BABB-713A23B5D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37088"/>
        <c:axId val="121836128"/>
      </c:barChart>
      <c:catAx>
        <c:axId val="1218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6128"/>
        <c:crosses val="autoZero"/>
        <c:auto val="1"/>
        <c:lblAlgn val="ctr"/>
        <c:lblOffset val="100"/>
        <c:noMultiLvlLbl val="0"/>
      </c:catAx>
      <c:valAx>
        <c:axId val="1218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'Whittaker''s Beta diversity'!#REF!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'Whittaker''s Beta diversity'!$U$70:$U$79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'Whittaker''s Beta diversity'!$V$70:$V$79</c:f>
              <c:numCache>
                <c:formatCode>General</c:formatCode>
                <c:ptCount val="10"/>
                <c:pt idx="0">
                  <c:v>0</c:v>
                </c:pt>
                <c:pt idx="1">
                  <c:v>2.8959705076874657E-4</c:v>
                </c:pt>
                <c:pt idx="2">
                  <c:v>7.2415718377283691E-4</c:v>
                </c:pt>
                <c:pt idx="3">
                  <c:v>4.1338297264410795E-3</c:v>
                </c:pt>
                <c:pt idx="4">
                  <c:v>6.457331621781446E-3</c:v>
                </c:pt>
                <c:pt idx="5">
                  <c:v>2.1220849300005784E-2</c:v>
                </c:pt>
                <c:pt idx="6">
                  <c:v>5.7544575794363E-2</c:v>
                </c:pt>
                <c:pt idx="7">
                  <c:v>0.10681120871855354</c:v>
                </c:pt>
                <c:pt idx="8">
                  <c:v>0.25302078932589067</c:v>
                </c:pt>
                <c:pt idx="9">
                  <c:v>1.0002863223794642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D-4B03-AA5A-B13275FFF2BF}"/>
            </c:ext>
          </c:extLst>
        </c:ser>
        <c:ser>
          <c:idx val="1"/>
          <c:order val="1"/>
          <c:tx>
            <c:strRef>
              <c:f>'Whittaker''s Beta diversity'!$W$69</c:f>
              <c:strCache>
                <c:ptCount val="1"/>
                <c:pt idx="0">
                  <c:v>Normalized Species richness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'Whittaker''s Beta diversity'!$U$70:$U$79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'Whittaker''s Beta diversity'!$W$70:$W$79</c:f>
              <c:numCache>
                <c:formatCode>General</c:formatCode>
                <c:ptCount val="10"/>
                <c:pt idx="0">
                  <c:v>2.7027027027027029E-2</c:v>
                </c:pt>
                <c:pt idx="1">
                  <c:v>5.4054054054054057E-2</c:v>
                </c:pt>
                <c:pt idx="2">
                  <c:v>0</c:v>
                </c:pt>
                <c:pt idx="3">
                  <c:v>0.48648648648648651</c:v>
                </c:pt>
                <c:pt idx="4">
                  <c:v>0.29729729729729731</c:v>
                </c:pt>
                <c:pt idx="5">
                  <c:v>0.81081081081081086</c:v>
                </c:pt>
                <c:pt idx="6">
                  <c:v>1</c:v>
                </c:pt>
                <c:pt idx="7">
                  <c:v>0.81081081081081086</c:v>
                </c:pt>
                <c:pt idx="8">
                  <c:v>0.59459459459459463</c:v>
                </c:pt>
                <c:pt idx="9">
                  <c:v>0.45945945945945948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D-4B03-AA5A-B13275FF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326255"/>
        <c:axId val="552240863"/>
      </c:lineChart>
      <c:catAx>
        <c:axId val="254326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2240863"/>
        <c:crosses val="autoZero"/>
        <c:auto val="1"/>
        <c:lblAlgn val="ctr"/>
        <c:lblOffset val="100"/>
        <c:noMultiLvlLbl val="0"/>
      </c:catAx>
      <c:valAx>
        <c:axId val="5522408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432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'Whittaker''s Beta diversity'!$U$74:$U$79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'Whittaker''s Beta diversity'!$V$74:$V$79</c:f>
              <c:numCache>
                <c:formatCode>General</c:formatCode>
                <c:ptCount val="6"/>
                <c:pt idx="0">
                  <c:v>6.457331621781446E-3</c:v>
                </c:pt>
                <c:pt idx="1">
                  <c:v>2.1220849300005784E-2</c:v>
                </c:pt>
                <c:pt idx="2">
                  <c:v>5.7544575794363E-2</c:v>
                </c:pt>
                <c:pt idx="3">
                  <c:v>0.10681120871855354</c:v>
                </c:pt>
                <c:pt idx="4">
                  <c:v>0.25302078932589067</c:v>
                </c:pt>
                <c:pt idx="5">
                  <c:v>1.0002863223794642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5-44AB-A2EA-144C48FA833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'Whittaker''s Beta diversity'!$U$74:$U$79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'Whittaker''s Beta diversity'!$W$74:$W$79</c:f>
              <c:numCache>
                <c:formatCode>General</c:formatCode>
                <c:ptCount val="6"/>
                <c:pt idx="0">
                  <c:v>0.29729729729729731</c:v>
                </c:pt>
                <c:pt idx="1">
                  <c:v>0.81081081081081086</c:v>
                </c:pt>
                <c:pt idx="2">
                  <c:v>1</c:v>
                </c:pt>
                <c:pt idx="3">
                  <c:v>0.81081081081081086</c:v>
                </c:pt>
                <c:pt idx="4">
                  <c:v>0.59459459459459463</c:v>
                </c:pt>
                <c:pt idx="5">
                  <c:v>0.45945945945945948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5-44AB-A2EA-144C48FA833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'Whittaker''s Beta diversity'!$U$74:$U$79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'Whittaker''s Beta diversity'!$X$74:$X$79</c:f>
              <c:numCache>
                <c:formatCode>General</c:formatCode>
                <c:ptCount val="6"/>
                <c:pt idx="0">
                  <c:v>1</c:v>
                </c:pt>
                <c:pt idx="1">
                  <c:v>0.61938138046625024</c:v>
                </c:pt>
                <c:pt idx="2">
                  <c:v>0.33399360048758192</c:v>
                </c:pt>
                <c:pt idx="3">
                  <c:v>0.18406216669206157</c:v>
                </c:pt>
                <c:pt idx="4">
                  <c:v>7.0394636599116267E-2</c:v>
                </c:pt>
                <c:pt idx="5">
                  <c:v>4.083498400121896E-2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F5-44AB-A2EA-144C48FA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640927"/>
        <c:axId val="1244643327"/>
      </c:lineChart>
      <c:catAx>
        <c:axId val="12446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43327"/>
        <c:crosses val="autoZero"/>
        <c:auto val="1"/>
        <c:lblAlgn val="ctr"/>
        <c:lblOffset val="100"/>
        <c:noMultiLvlLbl val="0"/>
      </c:catAx>
      <c:valAx>
        <c:axId val="12446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4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River Area (hectares)</a:t>
            </a:r>
            <a:r>
              <a:rPr lang="en-US" baseline="0"/>
              <a:t> for each Strahler Stream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'Strahler River Area'!$A$3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Area'!$B$3:$K$3</c:f>
              <c:numCache>
                <c:formatCode>General</c:formatCode>
                <c:ptCount val="10"/>
                <c:pt idx="0">
                  <c:v>571072.03193699999</c:v>
                </c:pt>
                <c:pt idx="1">
                  <c:v>370331.54704199999</c:v>
                </c:pt>
                <c:pt idx="2">
                  <c:v>348435.12301400001</c:v>
                </c:pt>
                <c:pt idx="3">
                  <c:v>376048.46389100002</c:v>
                </c:pt>
                <c:pt idx="4">
                  <c:v>469157.57393700001</c:v>
                </c:pt>
                <c:pt idx="5">
                  <c:v>598710.48482500005</c:v>
                </c:pt>
                <c:pt idx="6">
                  <c:v>535752.83883799997</c:v>
                </c:pt>
                <c:pt idx="7">
                  <c:v>640329.331657</c:v>
                </c:pt>
                <c:pt idx="8">
                  <c:v>564450.214224</c:v>
                </c:pt>
                <c:pt idx="9">
                  <c:v>6489.2348629999997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5-4EEC-B4F6-7BBBB669799F}"/>
            </c:ext>
          </c:extLst>
        </c:ser>
        <c:ser>
          <c:idx val="1"/>
          <c:order val="1"/>
          <c:tx>
            <c:strRef>
              <c:f>'Strahler River Area'!$A$4</c:f>
              <c:strCache>
                <c:ptCount val="1"/>
                <c:pt idx="0">
                  <c:v>East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Area'!$B$4:$K$4</c:f>
              <c:numCache>
                <c:formatCode>General</c:formatCode>
                <c:ptCount val="10"/>
                <c:pt idx="0">
                  <c:v>27777.197999</c:v>
                </c:pt>
                <c:pt idx="1">
                  <c:v>16241.696996999999</c:v>
                </c:pt>
                <c:pt idx="2">
                  <c:v>15181.631009999999</c:v>
                </c:pt>
                <c:pt idx="3">
                  <c:v>20596.277999999998</c:v>
                </c:pt>
                <c:pt idx="4">
                  <c:v>22390.907993000001</c:v>
                </c:pt>
                <c:pt idx="5">
                  <c:v>16258.906010000001</c:v>
                </c:pt>
                <c:pt idx="6">
                  <c:v>6156.9019930000004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5-4EEC-B4F6-7BBBB669799F}"/>
            </c:ext>
          </c:extLst>
        </c:ser>
        <c:ser>
          <c:idx val="2"/>
          <c:order val="2"/>
          <c:tx>
            <c:strRef>
              <c:f>'Strahler River Area'!$A$5</c:f>
              <c:strCache>
                <c:ptCount val="1"/>
                <c:pt idx="0">
                  <c:v>Guianas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Area'!$B$5:$K$5</c:f>
              <c:numCache>
                <c:formatCode>General</c:formatCode>
                <c:ptCount val="10"/>
                <c:pt idx="0">
                  <c:v>49956.949996000003</c:v>
                </c:pt>
                <c:pt idx="1">
                  <c:v>30079.815009000002</c:v>
                </c:pt>
                <c:pt idx="2">
                  <c:v>27413.842022000001</c:v>
                </c:pt>
                <c:pt idx="3">
                  <c:v>30924.357003000001</c:v>
                </c:pt>
                <c:pt idx="4">
                  <c:v>43686.093027000003</c:v>
                </c:pt>
                <c:pt idx="5">
                  <c:v>44454.257103999997</c:v>
                </c:pt>
                <c:pt idx="6">
                  <c:v>29270.734946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5-4EEC-B4F6-7BBBB669799F}"/>
            </c:ext>
          </c:extLst>
        </c:ser>
        <c:ser>
          <c:idx val="3"/>
          <c:order val="3"/>
          <c:tx>
            <c:strRef>
              <c:f>'Strahler River Area'!$A$6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Area'!$B$6:$K$6</c:f>
              <c:numCache>
                <c:formatCode>General</c:formatCode>
                <c:ptCount val="10"/>
                <c:pt idx="0">
                  <c:v>25254.419005</c:v>
                </c:pt>
                <c:pt idx="1">
                  <c:v>17769.246006000001</c:v>
                </c:pt>
                <c:pt idx="2">
                  <c:v>17240.894003000001</c:v>
                </c:pt>
                <c:pt idx="3">
                  <c:v>15388.302012</c:v>
                </c:pt>
                <c:pt idx="4">
                  <c:v>19734.889998999999</c:v>
                </c:pt>
                <c:pt idx="5">
                  <c:v>32104.383011000002</c:v>
                </c:pt>
                <c:pt idx="6">
                  <c:v>20695.303962000002</c:v>
                </c:pt>
                <c:pt idx="7">
                  <c:v>14689.106024000001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B5-4EEC-B4F6-7BBBB669799F}"/>
            </c:ext>
          </c:extLst>
        </c:ser>
        <c:ser>
          <c:idx val="4"/>
          <c:order val="4"/>
          <c:tx>
            <c:strRef>
              <c:f>'Strahler River Area'!$A$7</c:f>
              <c:strCache>
                <c:ptCount val="1"/>
                <c:pt idx="0">
                  <c:v>Maracaibo-Carribean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Area'!$B$7:$K$7</c:f>
              <c:numCache>
                <c:formatCode>General</c:formatCode>
                <c:ptCount val="10"/>
                <c:pt idx="0">
                  <c:v>12837.347999</c:v>
                </c:pt>
                <c:pt idx="1">
                  <c:v>7861.647997</c:v>
                </c:pt>
                <c:pt idx="2">
                  <c:v>7890.7170029999997</c:v>
                </c:pt>
                <c:pt idx="3">
                  <c:v>7158.1339900000003</c:v>
                </c:pt>
                <c:pt idx="4">
                  <c:v>5803.4930039999999</c:v>
                </c:pt>
                <c:pt idx="5">
                  <c:v>3602.6610150000001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B5-4EEC-B4F6-7BBBB669799F}"/>
            </c:ext>
          </c:extLst>
        </c:ser>
        <c:ser>
          <c:idx val="5"/>
          <c:order val="5"/>
          <c:tx>
            <c:strRef>
              <c:f>'Strahler River Area'!$A$8</c:f>
              <c:strCache>
                <c:ptCount val="1"/>
                <c:pt idx="0">
                  <c:v>North East Atlantic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Area'!$B$8:$K$8</c:f>
              <c:numCache>
                <c:formatCode>General</c:formatCode>
                <c:ptCount val="10"/>
                <c:pt idx="0">
                  <c:v>26638.555999</c:v>
                </c:pt>
                <c:pt idx="1">
                  <c:v>15007.463999</c:v>
                </c:pt>
                <c:pt idx="2">
                  <c:v>15167.825994999999</c:v>
                </c:pt>
                <c:pt idx="3">
                  <c:v>15256.818014</c:v>
                </c:pt>
                <c:pt idx="4">
                  <c:v>7652.0260099999996</c:v>
                </c:pt>
                <c:pt idx="5">
                  <c:v>13578.941015</c:v>
                </c:pt>
                <c:pt idx="6">
                  <c:v>5090.1309819999997</c:v>
                </c:pt>
                <c:pt idx="7">
                  <c:v>10912.52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B5-4EEC-B4F6-7BBBB669799F}"/>
            </c:ext>
          </c:extLst>
        </c:ser>
        <c:ser>
          <c:idx val="6"/>
          <c:order val="6"/>
          <c:tx>
            <c:strRef>
              <c:f>'Strahler River Area'!$A$9</c:f>
              <c:strCache>
                <c:ptCount val="1"/>
                <c:pt idx="0">
                  <c:v>North West Pacific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Area'!$B$9:$K$9</c:f>
              <c:numCache>
                <c:formatCode>General</c:formatCode>
                <c:ptCount val="10"/>
                <c:pt idx="0">
                  <c:v>32318.811002999999</c:v>
                </c:pt>
                <c:pt idx="1">
                  <c:v>21403.274001000002</c:v>
                </c:pt>
                <c:pt idx="2">
                  <c:v>19821.531996999998</c:v>
                </c:pt>
                <c:pt idx="3">
                  <c:v>24747.105986999999</c:v>
                </c:pt>
                <c:pt idx="4">
                  <c:v>21998.994018000001</c:v>
                </c:pt>
                <c:pt idx="5">
                  <c:v>11693.746991</c:v>
                </c:pt>
                <c:pt idx="6">
                  <c:v>6551.6800080000003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B5-4EEC-B4F6-7BBBB669799F}"/>
            </c:ext>
          </c:extLst>
        </c:ser>
        <c:ser>
          <c:idx val="7"/>
          <c:order val="7"/>
          <c:tx>
            <c:strRef>
              <c:f>'Strahler River Area'!$A$10</c:f>
              <c:strCache>
                <c:ptCount val="1"/>
                <c:pt idx="0">
                  <c:v>Orinoco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Area'!$B$10:$K$10</c:f>
              <c:numCache>
                <c:formatCode>General</c:formatCode>
                <c:ptCount val="10"/>
                <c:pt idx="0">
                  <c:v>88737.590977</c:v>
                </c:pt>
                <c:pt idx="1">
                  <c:v>59554.388012000003</c:v>
                </c:pt>
                <c:pt idx="2">
                  <c:v>60190.699015999999</c:v>
                </c:pt>
                <c:pt idx="3">
                  <c:v>64472.53299</c:v>
                </c:pt>
                <c:pt idx="4">
                  <c:v>74176.955010000005</c:v>
                </c:pt>
                <c:pt idx="5">
                  <c:v>98304.866005000003</c:v>
                </c:pt>
                <c:pt idx="6">
                  <c:v>121237.992915</c:v>
                </c:pt>
                <c:pt idx="7">
                  <c:v>135750.12210800001</c:v>
                </c:pt>
                <c:pt idx="8">
                  <c:v>34099.041129999998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B5-4EEC-B4F6-7BBBB669799F}"/>
            </c:ext>
          </c:extLst>
        </c:ser>
        <c:ser>
          <c:idx val="8"/>
          <c:order val="8"/>
          <c:tx>
            <c:strRef>
              <c:f>'Strahler River Area'!$A$11</c:f>
              <c:strCache>
                <c:ptCount val="1"/>
                <c:pt idx="0">
                  <c:v>Parana 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Area'!$B$11:$K$11</c:f>
              <c:numCache>
                <c:formatCode>General</c:formatCode>
                <c:ptCount val="10"/>
                <c:pt idx="0">
                  <c:v>117751.946994</c:v>
                </c:pt>
                <c:pt idx="1">
                  <c:v>73285.080008000004</c:v>
                </c:pt>
                <c:pt idx="2">
                  <c:v>76938.676982000005</c:v>
                </c:pt>
                <c:pt idx="3">
                  <c:v>81344.121979000003</c:v>
                </c:pt>
                <c:pt idx="4">
                  <c:v>89634.003064999997</c:v>
                </c:pt>
                <c:pt idx="5">
                  <c:v>84722.726011999999</c:v>
                </c:pt>
                <c:pt idx="6">
                  <c:v>74659.373913999996</c:v>
                </c:pt>
                <c:pt idx="7">
                  <c:v>141378.73490400001</c:v>
                </c:pt>
                <c:pt idx="8">
                  <c:v>82589.541096000001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B5-4EEC-B4F6-7BBBB669799F}"/>
            </c:ext>
          </c:extLst>
        </c:ser>
        <c:ser>
          <c:idx val="9"/>
          <c:order val="9"/>
          <c:tx>
            <c:strRef>
              <c:f>'Strahler River Area'!$A$12</c:f>
              <c:strCache>
                <c:ptCount val="1"/>
                <c:pt idx="0">
                  <c:v>Sao Francisco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Area'!$B$12:$K$12</c:f>
              <c:numCache>
                <c:formatCode>General</c:formatCode>
                <c:ptCount val="10"/>
                <c:pt idx="0">
                  <c:v>31269.594002999998</c:v>
                </c:pt>
                <c:pt idx="1">
                  <c:v>19757.598999000002</c:v>
                </c:pt>
                <c:pt idx="2">
                  <c:v>19971.953024999999</c:v>
                </c:pt>
                <c:pt idx="3">
                  <c:v>18170.448004000002</c:v>
                </c:pt>
                <c:pt idx="4">
                  <c:v>23868.583992</c:v>
                </c:pt>
                <c:pt idx="5">
                  <c:v>15802.992026</c:v>
                </c:pt>
                <c:pt idx="6">
                  <c:v>69507.428843999995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B5-4EEC-B4F6-7BBBB669799F}"/>
            </c:ext>
          </c:extLst>
        </c:ser>
        <c:ser>
          <c:idx val="10"/>
          <c:order val="10"/>
          <c:tx>
            <c:strRef>
              <c:f>'Strahler River Area'!$A$13</c:f>
              <c:strCache>
                <c:ptCount val="1"/>
                <c:pt idx="0">
                  <c:v>South East Atlantic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Area'!$B$13:$K$13</c:f>
              <c:numCache>
                <c:formatCode>General</c:formatCode>
                <c:ptCount val="10"/>
                <c:pt idx="0">
                  <c:v>42108.974996999998</c:v>
                </c:pt>
                <c:pt idx="1">
                  <c:v>26543.809002000002</c:v>
                </c:pt>
                <c:pt idx="2">
                  <c:v>26620.972988000001</c:v>
                </c:pt>
                <c:pt idx="3">
                  <c:v>27592.515992000001</c:v>
                </c:pt>
                <c:pt idx="4">
                  <c:v>30092.839004000001</c:v>
                </c:pt>
                <c:pt idx="5">
                  <c:v>52373.736980000001</c:v>
                </c:pt>
                <c:pt idx="6">
                  <c:v>24845.241975000001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B5-4EEC-B4F6-7BBBB669799F}"/>
            </c:ext>
          </c:extLst>
        </c:ser>
        <c:ser>
          <c:idx val="11"/>
          <c:order val="11"/>
          <c:tx>
            <c:strRef>
              <c:f>'Strahler River Area'!$A$14</c:f>
              <c:strCache>
                <c:ptCount val="1"/>
                <c:pt idx="0">
                  <c:v>Southern Cone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Area'!$B$14:$K$14</c:f>
              <c:numCache>
                <c:formatCode>General</c:formatCode>
                <c:ptCount val="10"/>
                <c:pt idx="0">
                  <c:v>71753.777998000005</c:v>
                </c:pt>
                <c:pt idx="1">
                  <c:v>44194.941019999998</c:v>
                </c:pt>
                <c:pt idx="2">
                  <c:v>38707.944022000003</c:v>
                </c:pt>
                <c:pt idx="3">
                  <c:v>39212.654995999997</c:v>
                </c:pt>
                <c:pt idx="4">
                  <c:v>43947.517967</c:v>
                </c:pt>
                <c:pt idx="5">
                  <c:v>44369.152942000001</c:v>
                </c:pt>
                <c:pt idx="6">
                  <c:v>27679.248973999998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9B5-4EEC-B4F6-7BBBB669799F}"/>
            </c:ext>
          </c:extLst>
        </c:ser>
        <c:ser>
          <c:idx val="12"/>
          <c:order val="12"/>
          <c:tx>
            <c:strRef>
              <c:f>'Strahler River Area'!$A$15</c:f>
              <c:strCache>
                <c:ptCount val="1"/>
                <c:pt idx="0">
                  <c:v>Titicaca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Area'!$B$15:$K$15</c:f>
              <c:numCache>
                <c:formatCode>General</c:formatCode>
                <c:ptCount val="10"/>
                <c:pt idx="0">
                  <c:v>7494.8150009999999</c:v>
                </c:pt>
                <c:pt idx="1">
                  <c:v>4083.7060040000001</c:v>
                </c:pt>
                <c:pt idx="2">
                  <c:v>3459.2420029999998</c:v>
                </c:pt>
                <c:pt idx="3">
                  <c:v>4192.5729929999998</c:v>
                </c:pt>
                <c:pt idx="4">
                  <c:v>2907.9009959999999</c:v>
                </c:pt>
                <c:pt idx="5">
                  <c:v>11952.614987999999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B5-4EEC-B4F6-7BBBB6697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923568"/>
        <c:axId val="1797989424"/>
      </c:lineChart>
      <c:catAx>
        <c:axId val="161292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989424"/>
        <c:crosses val="autoZero"/>
        <c:auto val="1"/>
        <c:lblAlgn val="ctr"/>
        <c:lblOffset val="100"/>
        <c:noMultiLvlLbl val="0"/>
      </c:catAx>
      <c:valAx>
        <c:axId val="17979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2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River Area per</a:t>
            </a:r>
            <a:r>
              <a:rPr lang="en-US" baseline="0"/>
              <a:t> each Strahler Stream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'Strahler River Area'!$N$3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Area'!$O$3:$X$3</c:f>
              <c:numCache>
                <c:formatCode>General</c:formatCode>
                <c:ptCount val="10"/>
                <c:pt idx="0">
                  <c:v>12.744933563755525</c:v>
                </c:pt>
                <c:pt idx="1">
                  <c:v>8.2648960195161223</c:v>
                </c:pt>
                <c:pt idx="2">
                  <c:v>7.7762212921369551</c:v>
                </c:pt>
                <c:pt idx="3">
                  <c:v>8.3924836465670953</c:v>
                </c:pt>
                <c:pt idx="4">
                  <c:v>10.470451670481081</c:v>
                </c:pt>
                <c:pt idx="5">
                  <c:v>13.361756356963875</c:v>
                </c:pt>
                <c:pt idx="6">
                  <c:v>11.956695400444691</c:v>
                </c:pt>
                <c:pt idx="7">
                  <c:v>14.290587411909449</c:v>
                </c:pt>
                <c:pt idx="8">
                  <c:v>12.59715075860356</c:v>
                </c:pt>
                <c:pt idx="9">
                  <c:v>0.14482387962166057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5-4B6D-A6FF-08CA97A80859}"/>
            </c:ext>
          </c:extLst>
        </c:ser>
        <c:ser>
          <c:idx val="1"/>
          <c:order val="1"/>
          <c:tx>
            <c:strRef>
              <c:f>'Strahler River Area'!$N$4</c:f>
              <c:strCache>
                <c:ptCount val="1"/>
                <c:pt idx="0">
                  <c:v>East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Area'!$O$4:$X$4</c:f>
              <c:numCache>
                <c:formatCode>General</c:formatCode>
                <c:ptCount val="10"/>
                <c:pt idx="0">
                  <c:v>22.292466535900552</c:v>
                </c:pt>
                <c:pt idx="1">
                  <c:v>13.034701585267658</c:v>
                </c:pt>
                <c:pt idx="2">
                  <c:v>12.183950348879646</c:v>
                </c:pt>
                <c:pt idx="3">
                  <c:v>16.529451174147734</c:v>
                </c:pt>
                <c:pt idx="4">
                  <c:v>17.969723481841125</c:v>
                </c:pt>
                <c:pt idx="5">
                  <c:v>13.048512602002759</c:v>
                </c:pt>
                <c:pt idx="6">
                  <c:v>4.9411942719605157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5-4B6D-A6FF-08CA97A80859}"/>
            </c:ext>
          </c:extLst>
        </c:ser>
        <c:ser>
          <c:idx val="2"/>
          <c:order val="2"/>
          <c:tx>
            <c:strRef>
              <c:f>'Strahler River Area'!$N$5</c:f>
              <c:strCache>
                <c:ptCount val="1"/>
                <c:pt idx="0">
                  <c:v>Guianas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Area'!$O$5:$X$5</c:f>
              <c:numCache>
                <c:formatCode>General</c:formatCode>
                <c:ptCount val="10"/>
                <c:pt idx="0">
                  <c:v>19.53075633734117</c:v>
                </c:pt>
                <c:pt idx="1">
                  <c:v>11.759755903034829</c:v>
                </c:pt>
                <c:pt idx="2">
                  <c:v>10.717489135043595</c:v>
                </c:pt>
                <c:pt idx="3">
                  <c:v>12.089931061902353</c:v>
                </c:pt>
                <c:pt idx="4">
                  <c:v>17.079153917704602</c:v>
                </c:pt>
                <c:pt idx="5">
                  <c:v>17.379468997311875</c:v>
                </c:pt>
                <c:pt idx="6">
                  <c:v>11.443444647661575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5-4B6D-A6FF-08CA97A80859}"/>
            </c:ext>
          </c:extLst>
        </c:ser>
        <c:ser>
          <c:idx val="3"/>
          <c:order val="3"/>
          <c:tx>
            <c:strRef>
              <c:f>'Strahler River Area'!$N$6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Area'!$O$6:$X$6</c:f>
              <c:numCache>
                <c:formatCode>General</c:formatCode>
                <c:ptCount val="10"/>
                <c:pt idx="0">
                  <c:v>15.50525224896032</c:v>
                </c:pt>
                <c:pt idx="1">
                  <c:v>10.909640864923976</c:v>
                </c:pt>
                <c:pt idx="2">
                  <c:v>10.585252840747433</c:v>
                </c:pt>
                <c:pt idx="3">
                  <c:v>9.4478318559617005</c:v>
                </c:pt>
                <c:pt idx="4">
                  <c:v>12.116471476908531</c:v>
                </c:pt>
                <c:pt idx="5">
                  <c:v>19.710869483247144</c:v>
                </c:pt>
                <c:pt idx="6">
                  <c:v>12.70612910303687</c:v>
                </c:pt>
                <c:pt idx="7">
                  <c:v>9.018552126214022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05-4B6D-A6FF-08CA97A80859}"/>
            </c:ext>
          </c:extLst>
        </c:ser>
        <c:ser>
          <c:idx val="4"/>
          <c:order val="4"/>
          <c:tx>
            <c:strRef>
              <c:f>'Strahler River Area'!$N$7</c:f>
              <c:strCache>
                <c:ptCount val="1"/>
                <c:pt idx="0">
                  <c:v>Maracaibo-Carribean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Area'!$O$7:$X$7</c:f>
              <c:numCache>
                <c:formatCode>General</c:formatCode>
                <c:ptCount val="10"/>
                <c:pt idx="0">
                  <c:v>28.430145086646007</c:v>
                </c:pt>
                <c:pt idx="1">
                  <c:v>17.410745053593679</c:v>
                </c:pt>
                <c:pt idx="2">
                  <c:v>17.475122529234984</c:v>
                </c:pt>
                <c:pt idx="3">
                  <c:v>15.852712561909593</c:v>
                </c:pt>
                <c:pt idx="4">
                  <c:v>12.852666152378802</c:v>
                </c:pt>
                <c:pt idx="5">
                  <c:v>7.9786086162369347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05-4B6D-A6FF-08CA97A80859}"/>
            </c:ext>
          </c:extLst>
        </c:ser>
        <c:ser>
          <c:idx val="5"/>
          <c:order val="5"/>
          <c:tx>
            <c:strRef>
              <c:f>'Strahler River Area'!$N$8</c:f>
              <c:strCache>
                <c:ptCount val="1"/>
                <c:pt idx="0">
                  <c:v>North East Atlantic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Area'!$O$8:$X$8</c:f>
              <c:numCache>
                <c:formatCode>General</c:formatCode>
                <c:ptCount val="10"/>
                <c:pt idx="0">
                  <c:v>24.371008626714236</c:v>
                </c:pt>
                <c:pt idx="1">
                  <c:v>13.729987263516172</c:v>
                </c:pt>
                <c:pt idx="2">
                  <c:v>13.876698804038856</c:v>
                </c:pt>
                <c:pt idx="3">
                  <c:v>13.958115576886424</c:v>
                </c:pt>
                <c:pt idx="4">
                  <c:v>7.0006644469975159</c:v>
                </c:pt>
                <c:pt idx="5">
                  <c:v>12.423064096666195</c:v>
                </c:pt>
                <c:pt idx="6">
                  <c:v>4.6568449910755012</c:v>
                </c:pt>
                <c:pt idx="7">
                  <c:v>9.9836161941050889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05-4B6D-A6FF-08CA97A80859}"/>
            </c:ext>
          </c:extLst>
        </c:ser>
        <c:ser>
          <c:idx val="6"/>
          <c:order val="6"/>
          <c:tx>
            <c:strRef>
              <c:f>'Strahler River Area'!$N$9</c:f>
              <c:strCache>
                <c:ptCount val="1"/>
                <c:pt idx="0">
                  <c:v>North West Pacific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Area'!$O$9:$X$9</c:f>
              <c:numCache>
                <c:formatCode>General</c:formatCode>
                <c:ptCount val="10"/>
                <c:pt idx="0">
                  <c:v>23.328961928847132</c:v>
                </c:pt>
                <c:pt idx="1">
                  <c:v>15.44970711563812</c:v>
                </c:pt>
                <c:pt idx="2">
                  <c:v>14.30794484631611</c:v>
                </c:pt>
                <c:pt idx="3">
                  <c:v>17.863413767489085</c:v>
                </c:pt>
                <c:pt idx="4">
                  <c:v>15.879720756782131</c:v>
                </c:pt>
                <c:pt idx="5">
                  <c:v>8.4409967412875027</c:v>
                </c:pt>
                <c:pt idx="6">
                  <c:v>4.7292548436399189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05-4B6D-A6FF-08CA97A80859}"/>
            </c:ext>
          </c:extLst>
        </c:ser>
        <c:ser>
          <c:idx val="7"/>
          <c:order val="7"/>
          <c:tx>
            <c:strRef>
              <c:f>'Strahler River Area'!$N$10</c:f>
              <c:strCache>
                <c:ptCount val="1"/>
                <c:pt idx="0">
                  <c:v>Orinoco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Area'!$O$10:$X$10</c:f>
              <c:numCache>
                <c:formatCode>General</c:formatCode>
                <c:ptCount val="10"/>
                <c:pt idx="0">
                  <c:v>12.048157060303023</c:v>
                </c:pt>
                <c:pt idx="1">
                  <c:v>8.0858699509295722</c:v>
                </c:pt>
                <c:pt idx="2">
                  <c:v>8.1722637196918786</c:v>
                </c:pt>
                <c:pt idx="3">
                  <c:v>8.7536205906290743</c:v>
                </c:pt>
                <c:pt idx="4">
                  <c:v>10.071217782406885</c:v>
                </c:pt>
                <c:pt idx="5">
                  <c:v>13.347133411896062</c:v>
                </c:pt>
                <c:pt idx="6">
                  <c:v>16.460829781759838</c:v>
                </c:pt>
                <c:pt idx="7">
                  <c:v>18.431183155923343</c:v>
                </c:pt>
                <c:pt idx="8">
                  <c:v>4.6297245464603192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05-4B6D-A6FF-08CA97A80859}"/>
            </c:ext>
          </c:extLst>
        </c:ser>
        <c:ser>
          <c:idx val="8"/>
          <c:order val="8"/>
          <c:tx>
            <c:strRef>
              <c:f>'Strahler River Area'!$N$11</c:f>
              <c:strCache>
                <c:ptCount val="1"/>
                <c:pt idx="0">
                  <c:v>Parana 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Area'!$O$11:$X$11</c:f>
              <c:numCache>
                <c:formatCode>General</c:formatCode>
                <c:ptCount val="10"/>
                <c:pt idx="0">
                  <c:v>14.319754937965701</c:v>
                </c:pt>
                <c:pt idx="1">
                  <c:v>8.9121616509427426</c:v>
                </c:pt>
                <c:pt idx="2">
                  <c:v>9.3564737378795204</c:v>
                </c:pt>
                <c:pt idx="3">
                  <c:v>9.8922176840322038</c:v>
                </c:pt>
                <c:pt idx="4">
                  <c:v>10.900345945575477</c:v>
                </c:pt>
                <c:pt idx="5">
                  <c:v>10.30308801798471</c:v>
                </c:pt>
                <c:pt idx="6">
                  <c:v>9.0792888403357335</c:v>
                </c:pt>
                <c:pt idx="7">
                  <c:v>17.192996710008167</c:v>
                </c:pt>
                <c:pt idx="8">
                  <c:v>10.043672475275752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05-4B6D-A6FF-08CA97A80859}"/>
            </c:ext>
          </c:extLst>
        </c:ser>
        <c:ser>
          <c:idx val="9"/>
          <c:order val="9"/>
          <c:tx>
            <c:strRef>
              <c:f>'Strahler River Area'!$N$12</c:f>
              <c:strCache>
                <c:ptCount val="1"/>
                <c:pt idx="0">
                  <c:v>Sao Francisco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Area'!$O$12:$X$12</c:f>
              <c:numCache>
                <c:formatCode>General</c:formatCode>
                <c:ptCount val="10"/>
                <c:pt idx="0">
                  <c:v>15.764968433111301</c:v>
                </c:pt>
                <c:pt idx="1">
                  <c:v>9.9610479273707018</c:v>
                </c:pt>
                <c:pt idx="2">
                  <c:v>10.069117269527048</c:v>
                </c:pt>
                <c:pt idx="3">
                  <c:v>9.1608653176330872</c:v>
                </c:pt>
                <c:pt idx="4">
                  <c:v>12.033653943215405</c:v>
                </c:pt>
                <c:pt idx="5">
                  <c:v>7.9672819037784048</c:v>
                </c:pt>
                <c:pt idx="6">
                  <c:v>35.043065205364051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05-4B6D-A6FF-08CA97A80859}"/>
            </c:ext>
          </c:extLst>
        </c:ser>
        <c:ser>
          <c:idx val="10"/>
          <c:order val="10"/>
          <c:tx>
            <c:strRef>
              <c:f>'Strahler River Area'!$N$13</c:f>
              <c:strCache>
                <c:ptCount val="1"/>
                <c:pt idx="0">
                  <c:v>South East Atlantic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Area'!$O$13:$X$13</c:f>
              <c:numCache>
                <c:formatCode>General</c:formatCode>
                <c:ptCount val="10"/>
                <c:pt idx="0">
                  <c:v>18.294084734737996</c:v>
                </c:pt>
                <c:pt idx="1">
                  <c:v>11.531857308326426</c:v>
                </c:pt>
                <c:pt idx="2">
                  <c:v>11.565380909849729</c:v>
                </c:pt>
                <c:pt idx="3">
                  <c:v>11.987464089026712</c:v>
                </c:pt>
                <c:pt idx="4">
                  <c:v>13.073719953696944</c:v>
                </c:pt>
                <c:pt idx="5">
                  <c:v>22.75357170900649</c:v>
                </c:pt>
                <c:pt idx="6">
                  <c:v>10.793921295355705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05-4B6D-A6FF-08CA97A80859}"/>
            </c:ext>
          </c:extLst>
        </c:ser>
        <c:ser>
          <c:idx val="11"/>
          <c:order val="11"/>
          <c:tx>
            <c:strRef>
              <c:f>'Strahler River Area'!$N$14</c:f>
              <c:strCache>
                <c:ptCount val="1"/>
                <c:pt idx="0">
                  <c:v>Southern Cone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Area'!$O$14:$X$14</c:f>
              <c:numCache>
                <c:formatCode>General</c:formatCode>
                <c:ptCount val="10"/>
                <c:pt idx="0">
                  <c:v>23.156446486184016</c:v>
                </c:pt>
                <c:pt idx="1">
                  <c:v>14.262632787338584</c:v>
                </c:pt>
                <c:pt idx="2">
                  <c:v>12.491863973498834</c:v>
                </c:pt>
                <c:pt idx="3">
                  <c:v>12.654744772064538</c:v>
                </c:pt>
                <c:pt idx="4">
                  <c:v>14.182784187779093</c:v>
                </c:pt>
                <c:pt idx="5">
                  <c:v>14.318854622085189</c:v>
                </c:pt>
                <c:pt idx="6">
                  <c:v>8.9326731710497533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05-4B6D-A6FF-08CA97A80859}"/>
            </c:ext>
          </c:extLst>
        </c:ser>
        <c:ser>
          <c:idx val="12"/>
          <c:order val="12"/>
          <c:tx>
            <c:strRef>
              <c:f>'Strahler River Area'!$N$15</c:f>
              <c:strCache>
                <c:ptCount val="1"/>
                <c:pt idx="0">
                  <c:v>Titicaca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Area'!$O$2:$X$2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Area'!$O$15:$X$15</c:f>
              <c:numCache>
                <c:formatCode>General</c:formatCode>
                <c:ptCount val="10"/>
                <c:pt idx="0">
                  <c:v>21.984827496531103</c:v>
                </c:pt>
                <c:pt idx="1">
                  <c:v>11.978891010986858</c:v>
                </c:pt>
                <c:pt idx="2">
                  <c:v>10.147126872986538</c:v>
                </c:pt>
                <c:pt idx="3">
                  <c:v>12.298234713654956</c:v>
                </c:pt>
                <c:pt idx="4">
                  <c:v>8.529857210020678</c:v>
                </c:pt>
                <c:pt idx="5">
                  <c:v>35.061062695819864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05-4B6D-A6FF-08CA97A8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453696"/>
        <c:axId val="1374411440"/>
      </c:lineChart>
      <c:catAx>
        <c:axId val="137345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11440"/>
        <c:crosses val="autoZero"/>
        <c:auto val="1"/>
        <c:lblAlgn val="ctr"/>
        <c:lblOffset val="100"/>
        <c:noMultiLvlLbl val="0"/>
      </c:catAx>
      <c:valAx>
        <c:axId val="13744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45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'Strahler River Area'!$AE$2:$AE$11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Area'!$AF$2:$AF$11</c:f>
              <c:numCache>
                <c:formatCode>General</c:formatCode>
                <c:ptCount val="10"/>
                <c:pt idx="0">
                  <c:v>11049.720139079998</c:v>
                </c:pt>
                <c:pt idx="1">
                  <c:v>7061.1421409600016</c:v>
                </c:pt>
                <c:pt idx="2">
                  <c:v>6770.4105308000007</c:v>
                </c:pt>
                <c:pt idx="3">
                  <c:v>7251.0430585100012</c:v>
                </c:pt>
                <c:pt idx="4">
                  <c:v>8550.5177802199996</c:v>
                </c:pt>
                <c:pt idx="5">
                  <c:v>10279.294689240001</c:v>
                </c:pt>
                <c:pt idx="6">
                  <c:v>9214.4687735099997</c:v>
                </c:pt>
                <c:pt idx="7">
                  <c:v>9430.5981469300004</c:v>
                </c:pt>
                <c:pt idx="8">
                  <c:v>6811.3879645000006</c:v>
                </c:pt>
                <c:pt idx="9">
                  <c:v>64.892348630000001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3-46FE-B3C0-5B9AC703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281581824"/>
        <c:axId val="1281570304"/>
      </c:barChart>
      <c:catAx>
        <c:axId val="128158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Stream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570304"/>
        <c:crosses val="autoZero"/>
        <c:auto val="1"/>
        <c:lblAlgn val="ctr"/>
        <c:lblOffset val="100"/>
        <c:noMultiLvlLbl val="0"/>
      </c:catAx>
      <c:valAx>
        <c:axId val="1281570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Total area (km2)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58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'Strahler River Area'!$AI$2:$AI$11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Area'!$AJ$2:$AJ$11</c:f>
              <c:numCache>
                <c:formatCode>General</c:formatCode>
                <c:ptCount val="10"/>
                <c:pt idx="0">
                  <c:v>5710.7203193699997</c:v>
                </c:pt>
                <c:pt idx="1">
                  <c:v>3703.3154704200001</c:v>
                </c:pt>
                <c:pt idx="2">
                  <c:v>3484.3512301400001</c:v>
                </c:pt>
                <c:pt idx="3">
                  <c:v>3760.4846389100003</c:v>
                </c:pt>
                <c:pt idx="4">
                  <c:v>4691.5757393700005</c:v>
                </c:pt>
                <c:pt idx="5">
                  <c:v>5987.1048482500009</c:v>
                </c:pt>
                <c:pt idx="6">
                  <c:v>5357.5283883799993</c:v>
                </c:pt>
                <c:pt idx="7">
                  <c:v>6403.2933165700006</c:v>
                </c:pt>
                <c:pt idx="8">
                  <c:v>5644.5021422400005</c:v>
                </c:pt>
                <c:pt idx="9">
                  <c:v>64.892348630000001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5-444F-BCB0-1C597261B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92218064"/>
        <c:axId val="92196464"/>
      </c:barChart>
      <c:catAx>
        <c:axId val="9221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Stream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6464"/>
        <c:crosses val="autoZero"/>
        <c:auto val="1"/>
        <c:lblAlgn val="ctr"/>
        <c:lblOffset val="100"/>
        <c:noMultiLvlLbl val="0"/>
      </c:catAx>
      <c:valAx>
        <c:axId val="92196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Total area (km2)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'Strahler River Area'!$AK$2:$AK$11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Area'!$AL$2:$AL$11</c:f>
              <c:numCache>
                <c:formatCode>General</c:formatCode>
                <c:ptCount val="10"/>
                <c:pt idx="0">
                  <c:v>10608583.5990433</c:v>
                </c:pt>
                <c:pt idx="1">
                  <c:v>23085203.997162499</c:v>
                </c:pt>
                <c:pt idx="2">
                  <c:v>56144970.092669398</c:v>
                </c:pt>
                <c:pt idx="3">
                  <c:v>135918962.61791199</c:v>
                </c:pt>
                <c:pt idx="4">
                  <c:v>314728401.66314697</c:v>
                </c:pt>
                <c:pt idx="5">
                  <c:v>699870993.07788002</c:v>
                </c:pt>
                <c:pt idx="6">
                  <c:v>1257645903.45996</c:v>
                </c:pt>
                <c:pt idx="7">
                  <c:v>1982987472.96875</c:v>
                </c:pt>
                <c:pt idx="8">
                  <c:v>2616933126.5</c:v>
                </c:pt>
                <c:pt idx="9">
                  <c:v>1652284528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1-47AD-9CE8-A32CBEB91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427535"/>
        <c:axId val="933424175"/>
      </c:barChart>
      <c:catAx>
        <c:axId val="93342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Stream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24175"/>
        <c:crosses val="autoZero"/>
        <c:auto val="1"/>
        <c:lblAlgn val="ctr"/>
        <c:lblOffset val="100"/>
        <c:noMultiLvlLbl val="0"/>
      </c:catAx>
      <c:valAx>
        <c:axId val="933424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Upland_SKM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275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'Strahler River Area'!$AM$2:$AM$10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'Strahler River Area'!$AN$2:$AN$10</c:f>
              <c:numCache>
                <c:formatCode>General</c:formatCode>
                <c:ptCount val="9"/>
                <c:pt idx="0">
                  <c:v>10613579.038484801</c:v>
                </c:pt>
                <c:pt idx="1">
                  <c:v>3494746.6595675498</c:v>
                </c:pt>
                <c:pt idx="2">
                  <c:v>1800986.8793884199</c:v>
                </c:pt>
                <c:pt idx="3">
                  <c:v>895982.66990702599</c:v>
                </c:pt>
                <c:pt idx="4">
                  <c:v>460039.60983775498</c:v>
                </c:pt>
                <c:pt idx="5">
                  <c:v>250236.119874909</c:v>
                </c:pt>
                <c:pt idx="6">
                  <c:v>109933.789978295</c:v>
                </c:pt>
                <c:pt idx="7">
                  <c:v>49827.029986068599</c:v>
                </c:pt>
                <c:pt idx="8">
                  <c:v>3821.6500014364701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D-46C3-8FC2-76942FCE7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060191"/>
        <c:axId val="915043391"/>
      </c:barChart>
      <c:catAx>
        <c:axId val="91506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Stream</a:t>
                </a:r>
                <a:r>
                  <a:rPr lang="en-US" sz="12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Order</a:t>
                </a:r>
                <a:endParaRPr lang="en-US" sz="12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43391"/>
        <c:crosses val="autoZero"/>
        <c:auto val="1"/>
        <c:lblAlgn val="ctr"/>
        <c:lblOffset val="100"/>
        <c:noMultiLvlLbl val="0"/>
      </c:catAx>
      <c:valAx>
        <c:axId val="915043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Catch_SKM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'Strahler River Area'!$AP$2:$AP$10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'Strahler River Area'!$AQ$2:$AQ$10</c:f>
              <c:numCache>
                <c:formatCode>General</c:formatCode>
                <c:ptCount val="9"/>
                <c:pt idx="0">
                  <c:v>112595040514819.63</c:v>
                </c:pt>
                <c:pt idx="1">
                  <c:v>80676939554519.094</c:v>
                </c:pt>
                <c:pt idx="2">
                  <c:v>101116354480552.83</c:v>
                </c:pt>
                <c:pt idx="3">
                  <c:v>121781035017390.05</c:v>
                </c:pt>
                <c:pt idx="4">
                  <c:v>144787531105974.38</c:v>
                </c:pt>
                <c:pt idx="5">
                  <c:v>175133001720808</c:v>
                </c:pt>
                <c:pt idx="6">
                  <c:v>138257780618030.31</c:v>
                </c:pt>
                <c:pt idx="7">
                  <c:v>98806376277612.297</c:v>
                </c:pt>
                <c:pt idx="8">
                  <c:v>10001002486647.871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197-A377-A59AF64E5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14848"/>
        <c:axId val="1573429248"/>
      </c:barChart>
      <c:catAx>
        <c:axId val="157341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Stream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29248"/>
        <c:crosses val="autoZero"/>
        <c:auto val="1"/>
        <c:lblAlgn val="ctr"/>
        <c:lblOffset val="100"/>
        <c:noMultiLvlLbl val="0"/>
      </c:catAx>
      <c:valAx>
        <c:axId val="1573429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UplandxCatch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1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Strahler</a:t>
            </a:r>
            <a:r>
              <a:rPr lang="en-US" baseline="0"/>
              <a:t> River Volume (thousand cubic meters) per Stream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60319958820868E-2"/>
          <c:y val="0.1175594294770206"/>
          <c:w val="0.88189647776737523"/>
          <c:h val="0.67018191691555795"/>
        </c:manualLayout>
      </c:layout>
      <c:lineChart>
        <c:grouping val="standard"/>
        <c:varyColors val="0"/>
        <c:ser>
          <c:idx val="0"/>
          <c:order val="0"/>
          <c:tx>
            <c:strRef>
              <c:f>'Strahler River Volume'!$A$3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Volume'!$B$3:$K$3</c:f>
              <c:numCache>
                <c:formatCode>General</c:formatCode>
                <c:ptCount val="10"/>
                <c:pt idx="0">
                  <c:v>1112399.1360460001</c:v>
                </c:pt>
                <c:pt idx="1">
                  <c:v>1504280.620836</c:v>
                </c:pt>
                <c:pt idx="2">
                  <c:v>2628699.7792699998</c:v>
                </c:pt>
                <c:pt idx="3">
                  <c:v>5175804.7602040004</c:v>
                </c:pt>
                <c:pt idx="4">
                  <c:v>11159768.738208</c:v>
                </c:pt>
                <c:pt idx="5">
                  <c:v>23599281.531799</c:v>
                </c:pt>
                <c:pt idx="6">
                  <c:v>33262226.766830001</c:v>
                </c:pt>
                <c:pt idx="7">
                  <c:v>58801312.490601003</c:v>
                </c:pt>
                <c:pt idx="8">
                  <c:v>85439082.063232005</c:v>
                </c:pt>
                <c:pt idx="9">
                  <c:v>84601230.533203006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4-4BF4-BD1B-760F9D13AE46}"/>
            </c:ext>
          </c:extLst>
        </c:ser>
        <c:ser>
          <c:idx val="1"/>
          <c:order val="1"/>
          <c:tx>
            <c:strRef>
              <c:f>'Strahler River Volume'!$A$4</c:f>
              <c:strCache>
                <c:ptCount val="1"/>
                <c:pt idx="0">
                  <c:v>East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Volume'!$B$4:$K$4</c:f>
              <c:numCache>
                <c:formatCode>General</c:formatCode>
                <c:ptCount val="10"/>
                <c:pt idx="0">
                  <c:v>46650.068009000002</c:v>
                </c:pt>
                <c:pt idx="1">
                  <c:v>59052.765980999997</c:v>
                </c:pt>
                <c:pt idx="2">
                  <c:v>99060.003943000003</c:v>
                </c:pt>
                <c:pt idx="3">
                  <c:v>263672.20282399998</c:v>
                </c:pt>
                <c:pt idx="4">
                  <c:v>478283.08121999999</c:v>
                </c:pt>
                <c:pt idx="5">
                  <c:v>568732.29052399995</c:v>
                </c:pt>
                <c:pt idx="6">
                  <c:v>311996.63909900002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4-4BF4-BD1B-760F9D13AE46}"/>
            </c:ext>
          </c:extLst>
        </c:ser>
        <c:ser>
          <c:idx val="2"/>
          <c:order val="2"/>
          <c:tx>
            <c:strRef>
              <c:f>'Strahler River Volume'!$A$5</c:f>
              <c:strCache>
                <c:ptCount val="1"/>
                <c:pt idx="0">
                  <c:v>Guianas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Volume'!$B$5:$K$5</c:f>
              <c:numCache>
                <c:formatCode>General</c:formatCode>
                <c:ptCount val="10"/>
                <c:pt idx="0">
                  <c:v>101170.499989</c:v>
                </c:pt>
                <c:pt idx="1">
                  <c:v>123976.78896400001</c:v>
                </c:pt>
                <c:pt idx="2">
                  <c:v>206528.10201</c:v>
                </c:pt>
                <c:pt idx="3">
                  <c:v>444628.84959599999</c:v>
                </c:pt>
                <c:pt idx="4">
                  <c:v>1040915.940793</c:v>
                </c:pt>
                <c:pt idx="5">
                  <c:v>1598569.55571</c:v>
                </c:pt>
                <c:pt idx="6">
                  <c:v>1454357.8112339999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4-4BF4-BD1B-760F9D13AE46}"/>
            </c:ext>
          </c:extLst>
        </c:ser>
        <c:ser>
          <c:idx val="3"/>
          <c:order val="3"/>
          <c:tx>
            <c:strRef>
              <c:f>'Strahler River Volume'!$A$6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Volume'!$B$6:$K$6</c:f>
              <c:numCache>
                <c:formatCode>General</c:formatCode>
                <c:ptCount val="10"/>
                <c:pt idx="0">
                  <c:v>47556.858005000002</c:v>
                </c:pt>
                <c:pt idx="1">
                  <c:v>70742.294057000006</c:v>
                </c:pt>
                <c:pt idx="2">
                  <c:v>123169.39105000001</c:v>
                </c:pt>
                <c:pt idx="3">
                  <c:v>186310.473917</c:v>
                </c:pt>
                <c:pt idx="4">
                  <c:v>431287.683976</c:v>
                </c:pt>
                <c:pt idx="5">
                  <c:v>1348126.9572409999</c:v>
                </c:pt>
                <c:pt idx="6">
                  <c:v>1273007.8862920001</c:v>
                </c:pt>
                <c:pt idx="7">
                  <c:v>1193424.0726320001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4-4BF4-BD1B-760F9D13AE46}"/>
            </c:ext>
          </c:extLst>
        </c:ser>
        <c:ser>
          <c:idx val="4"/>
          <c:order val="4"/>
          <c:tx>
            <c:strRef>
              <c:f>'Strahler River Volume'!$A$7</c:f>
              <c:strCache>
                <c:ptCount val="1"/>
                <c:pt idx="0">
                  <c:v>Maracaibo-Carribean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Volume'!$B$7:$K$7</c:f>
              <c:numCache>
                <c:formatCode>General</c:formatCode>
                <c:ptCount val="10"/>
                <c:pt idx="0">
                  <c:v>20921.637997999998</c:v>
                </c:pt>
                <c:pt idx="1">
                  <c:v>28466.901990999999</c:v>
                </c:pt>
                <c:pt idx="2">
                  <c:v>53942.590021000004</c:v>
                </c:pt>
                <c:pt idx="3">
                  <c:v>78711.441965000005</c:v>
                </c:pt>
                <c:pt idx="4">
                  <c:v>107340.28432200001</c:v>
                </c:pt>
                <c:pt idx="5">
                  <c:v>102715.51904100001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84-4BF4-BD1B-760F9D13AE46}"/>
            </c:ext>
          </c:extLst>
        </c:ser>
        <c:ser>
          <c:idx val="5"/>
          <c:order val="5"/>
          <c:tx>
            <c:strRef>
              <c:f>'Strahler River Volume'!$A$8</c:f>
              <c:strCache>
                <c:ptCount val="1"/>
                <c:pt idx="0">
                  <c:v>North East Atlantic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Volume'!$B$8:$K$8</c:f>
              <c:numCache>
                <c:formatCode>General</c:formatCode>
                <c:ptCount val="10"/>
                <c:pt idx="0">
                  <c:v>42053.817007999998</c:v>
                </c:pt>
                <c:pt idx="1">
                  <c:v>50419.186969000002</c:v>
                </c:pt>
                <c:pt idx="2">
                  <c:v>94597.602847000002</c:v>
                </c:pt>
                <c:pt idx="3">
                  <c:v>162585.39977700001</c:v>
                </c:pt>
                <c:pt idx="4">
                  <c:v>115042.14202499999</c:v>
                </c:pt>
                <c:pt idx="5">
                  <c:v>282652.080434</c:v>
                </c:pt>
                <c:pt idx="6">
                  <c:v>174004.91744200001</c:v>
                </c:pt>
                <c:pt idx="7">
                  <c:v>506432.02844199998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84-4BF4-BD1B-760F9D13AE46}"/>
            </c:ext>
          </c:extLst>
        </c:ser>
        <c:ser>
          <c:idx val="6"/>
          <c:order val="6"/>
          <c:tx>
            <c:strRef>
              <c:f>'Strahler River Volume'!$A$9</c:f>
              <c:strCache>
                <c:ptCount val="1"/>
                <c:pt idx="0">
                  <c:v>North West Pacific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Volume'!$B$9:$K$9</c:f>
              <c:numCache>
                <c:formatCode>General</c:formatCode>
                <c:ptCount val="10"/>
                <c:pt idx="0">
                  <c:v>61528.471031000001</c:v>
                </c:pt>
                <c:pt idx="1">
                  <c:v>87189.313020999994</c:v>
                </c:pt>
                <c:pt idx="2">
                  <c:v>147233.20899899999</c:v>
                </c:pt>
                <c:pt idx="3">
                  <c:v>330923.13190199999</c:v>
                </c:pt>
                <c:pt idx="4">
                  <c:v>487351.04831599997</c:v>
                </c:pt>
                <c:pt idx="5">
                  <c:v>361519.74490699999</c:v>
                </c:pt>
                <c:pt idx="6">
                  <c:v>296695.85363799997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84-4BF4-BD1B-760F9D13AE46}"/>
            </c:ext>
          </c:extLst>
        </c:ser>
        <c:ser>
          <c:idx val="7"/>
          <c:order val="7"/>
          <c:tx>
            <c:strRef>
              <c:f>'Strahler River Volume'!$A$10</c:f>
              <c:strCache>
                <c:ptCount val="1"/>
                <c:pt idx="0">
                  <c:v>Orinoco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Volume'!$B$10:$K$10</c:f>
              <c:numCache>
                <c:formatCode>General</c:formatCode>
                <c:ptCount val="10"/>
                <c:pt idx="0">
                  <c:v>189138.98397900001</c:v>
                </c:pt>
                <c:pt idx="1">
                  <c:v>262444.03997300001</c:v>
                </c:pt>
                <c:pt idx="2">
                  <c:v>501805.45188000001</c:v>
                </c:pt>
                <c:pt idx="3">
                  <c:v>946299.42871200002</c:v>
                </c:pt>
                <c:pt idx="4">
                  <c:v>1835966.2669249999</c:v>
                </c:pt>
                <c:pt idx="5">
                  <c:v>4092832.8054809999</c:v>
                </c:pt>
                <c:pt idx="6">
                  <c:v>7899721.3255620003</c:v>
                </c:pt>
                <c:pt idx="7">
                  <c:v>18858638.674927</c:v>
                </c:pt>
                <c:pt idx="8">
                  <c:v>5547502.7226560004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84-4BF4-BD1B-760F9D13AE46}"/>
            </c:ext>
          </c:extLst>
        </c:ser>
        <c:ser>
          <c:idx val="8"/>
          <c:order val="8"/>
          <c:tx>
            <c:strRef>
              <c:f>'Strahler River Volume'!$A$11</c:f>
              <c:strCache>
                <c:ptCount val="1"/>
                <c:pt idx="0">
                  <c:v>Parana 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Volume'!$B$11:$K$11</c:f>
              <c:numCache>
                <c:formatCode>General</c:formatCode>
                <c:ptCount val="10"/>
                <c:pt idx="0">
                  <c:v>185016.12001899999</c:v>
                </c:pt>
                <c:pt idx="1">
                  <c:v>251490.498934</c:v>
                </c:pt>
                <c:pt idx="2">
                  <c:v>493958.28281300003</c:v>
                </c:pt>
                <c:pt idx="3">
                  <c:v>950058.680008</c:v>
                </c:pt>
                <c:pt idx="4">
                  <c:v>1783912.2328069999</c:v>
                </c:pt>
                <c:pt idx="5">
                  <c:v>2557982.74829</c:v>
                </c:pt>
                <c:pt idx="6">
                  <c:v>3487382.0693279998</c:v>
                </c:pt>
                <c:pt idx="7">
                  <c:v>11967316.29425</c:v>
                </c:pt>
                <c:pt idx="8">
                  <c:v>9040911.7385249995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84-4BF4-BD1B-760F9D13AE46}"/>
            </c:ext>
          </c:extLst>
        </c:ser>
        <c:ser>
          <c:idx val="9"/>
          <c:order val="9"/>
          <c:tx>
            <c:strRef>
              <c:f>'Strahler River Volume'!$A$12</c:f>
              <c:strCache>
                <c:ptCount val="1"/>
                <c:pt idx="0">
                  <c:v>Sao Francisco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Volume'!$B$12:$K$12</c:f>
              <c:numCache>
                <c:formatCode>General</c:formatCode>
                <c:ptCount val="10"/>
                <c:pt idx="0">
                  <c:v>54080.669040000001</c:v>
                </c:pt>
                <c:pt idx="1">
                  <c:v>77317.592030999993</c:v>
                </c:pt>
                <c:pt idx="2">
                  <c:v>144709.11302300001</c:v>
                </c:pt>
                <c:pt idx="3">
                  <c:v>226281.12381700001</c:v>
                </c:pt>
                <c:pt idx="4">
                  <c:v>515526.19856599998</c:v>
                </c:pt>
                <c:pt idx="5">
                  <c:v>588000.12089499994</c:v>
                </c:pt>
                <c:pt idx="6">
                  <c:v>4681601.8579099998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84-4BF4-BD1B-760F9D13AE46}"/>
            </c:ext>
          </c:extLst>
        </c:ser>
        <c:ser>
          <c:idx val="10"/>
          <c:order val="10"/>
          <c:tx>
            <c:strRef>
              <c:f>'Strahler River Volume'!$A$13</c:f>
              <c:strCache>
                <c:ptCount val="1"/>
                <c:pt idx="0">
                  <c:v>South East Atlantic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Volume'!$B$13:$K$13</c:f>
              <c:numCache>
                <c:formatCode>General</c:formatCode>
                <c:ptCount val="10"/>
                <c:pt idx="0">
                  <c:v>72990.634974000001</c:v>
                </c:pt>
                <c:pt idx="1">
                  <c:v>98728.584034</c:v>
                </c:pt>
                <c:pt idx="2">
                  <c:v>184854.700996</c:v>
                </c:pt>
                <c:pt idx="3">
                  <c:v>340239.22612399998</c:v>
                </c:pt>
                <c:pt idx="4">
                  <c:v>634586.29959299997</c:v>
                </c:pt>
                <c:pt idx="5">
                  <c:v>2346176.5859150002</c:v>
                </c:pt>
                <c:pt idx="6">
                  <c:v>1699465.1631769999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84-4BF4-BD1B-760F9D13AE46}"/>
            </c:ext>
          </c:extLst>
        </c:ser>
        <c:ser>
          <c:idx val="11"/>
          <c:order val="11"/>
          <c:tx>
            <c:strRef>
              <c:f>'Strahler River Volume'!$A$14</c:f>
              <c:strCache>
                <c:ptCount val="1"/>
                <c:pt idx="0">
                  <c:v>Southern Cone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Volume'!$B$14:$K$14</c:f>
              <c:numCache>
                <c:formatCode>General</c:formatCode>
                <c:ptCount val="10"/>
                <c:pt idx="0">
                  <c:v>119863.332971</c:v>
                </c:pt>
                <c:pt idx="1">
                  <c:v>155621.67508099999</c:v>
                </c:pt>
                <c:pt idx="2">
                  <c:v>248115.78102699999</c:v>
                </c:pt>
                <c:pt idx="3">
                  <c:v>457324.55493500002</c:v>
                </c:pt>
                <c:pt idx="4">
                  <c:v>879870.969285</c:v>
                </c:pt>
                <c:pt idx="5">
                  <c:v>1336977.806046</c:v>
                </c:pt>
                <c:pt idx="6">
                  <c:v>1013607.691808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B84-4BF4-BD1B-760F9D13AE46}"/>
            </c:ext>
          </c:extLst>
        </c:ser>
        <c:ser>
          <c:idx val="12"/>
          <c:order val="12"/>
          <c:tx>
            <c:strRef>
              <c:f>'Strahler River Volume'!$A$15</c:f>
              <c:strCache>
                <c:ptCount val="1"/>
                <c:pt idx="0">
                  <c:v>Titicaca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Volume'!$B$15:$K$15</c:f>
              <c:numCache>
                <c:formatCode>General</c:formatCode>
                <c:ptCount val="10"/>
                <c:pt idx="0">
                  <c:v>11962.723980999999</c:v>
                </c:pt>
                <c:pt idx="1">
                  <c:v>12883.73403</c:v>
                </c:pt>
                <c:pt idx="2">
                  <c:v>19487.340027999999</c:v>
                </c:pt>
                <c:pt idx="3">
                  <c:v>45797.837950000001</c:v>
                </c:pt>
                <c:pt idx="4">
                  <c:v>47603.422005</c:v>
                </c:pt>
                <c:pt idx="5">
                  <c:v>426716.11645500001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84-4BF4-BD1B-760F9D13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903152"/>
        <c:axId val="1158109648"/>
      </c:lineChart>
      <c:catAx>
        <c:axId val="16129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09648"/>
        <c:crosses val="autoZero"/>
        <c:auto val="1"/>
        <c:lblAlgn val="ctr"/>
        <c:lblOffset val="100"/>
        <c:noMultiLvlLbl val="0"/>
      </c:catAx>
      <c:valAx>
        <c:axId val="11581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0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River Volume per Strahler Stream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'Strahler River Volume'!$O$3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Volume'!$P$3:$Y$3</c:f>
              <c:numCache>
                <c:formatCode>General</c:formatCode>
                <c:ptCount val="10"/>
                <c:pt idx="0">
                  <c:v>0.36201000481513024</c:v>
                </c:pt>
                <c:pt idx="1">
                  <c:v>0.48954068476517454</c:v>
                </c:pt>
                <c:pt idx="2">
                  <c:v>0.85546238657966123</c:v>
                </c:pt>
                <c:pt idx="3">
                  <c:v>1.6843712346124504</c:v>
                </c:pt>
                <c:pt idx="4">
                  <c:v>3.631743143036168</c:v>
                </c:pt>
                <c:pt idx="5">
                  <c:v>7.6799556419350656</c:v>
                </c:pt>
                <c:pt idx="6">
                  <c:v>10.82458488310454</c:v>
                </c:pt>
                <c:pt idx="7">
                  <c:v>19.135814410573399</c:v>
                </c:pt>
                <c:pt idx="8">
                  <c:v>27.804590552857022</c:v>
                </c:pt>
                <c:pt idx="9">
                  <c:v>27.53192705772139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F-4E84-982B-779C5F4C1815}"/>
            </c:ext>
          </c:extLst>
        </c:ser>
        <c:ser>
          <c:idx val="1"/>
          <c:order val="1"/>
          <c:tx>
            <c:strRef>
              <c:f>'Strahler River Volume'!$O$4</c:f>
              <c:strCache>
                <c:ptCount val="1"/>
                <c:pt idx="0">
                  <c:v>East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Volume'!$P$4:$Y$4</c:f>
              <c:numCache>
                <c:formatCode>General</c:formatCode>
                <c:ptCount val="10"/>
                <c:pt idx="0">
                  <c:v>2.552745261109266</c:v>
                </c:pt>
                <c:pt idx="1">
                  <c:v>3.2314351285470644</c:v>
                </c:pt>
                <c:pt idx="2">
                  <c:v>5.4206771055976244</c:v>
                </c:pt>
                <c:pt idx="3">
                  <c:v>14.428445551576713</c:v>
                </c:pt>
                <c:pt idx="4">
                  <c:v>26.172199123429863</c:v>
                </c:pt>
                <c:pt idx="5">
                  <c:v>31.121683663887996</c:v>
                </c:pt>
                <c:pt idx="6">
                  <c:v>17.072814165851483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F-4E84-982B-779C5F4C1815}"/>
            </c:ext>
          </c:extLst>
        </c:ser>
        <c:ser>
          <c:idx val="2"/>
          <c:order val="2"/>
          <c:tx>
            <c:strRef>
              <c:f>'Strahler River Volume'!$O$5</c:f>
              <c:strCache>
                <c:ptCount val="1"/>
                <c:pt idx="0">
                  <c:v>Guianas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Volume'!$P$5:$Y$5</c:f>
              <c:numCache>
                <c:formatCode>General</c:formatCode>
                <c:ptCount val="10"/>
                <c:pt idx="0">
                  <c:v>2.0355633108656099</c:v>
                </c:pt>
                <c:pt idx="1">
                  <c:v>2.4944287419898648</c:v>
                </c:pt>
                <c:pt idx="2">
                  <c:v>4.1553716464777297</c:v>
                </c:pt>
                <c:pt idx="3">
                  <c:v>8.9459889324299766</c:v>
                </c:pt>
                <c:pt idx="4">
                  <c:v>20.94336095011656</c:v>
                </c:pt>
                <c:pt idx="5">
                  <c:v>32.163422517668813</c:v>
                </c:pt>
                <c:pt idx="6">
                  <c:v>29.261863900451445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9F-4E84-982B-779C5F4C1815}"/>
            </c:ext>
          </c:extLst>
        </c:ser>
        <c:ser>
          <c:idx val="3"/>
          <c:order val="3"/>
          <c:tx>
            <c:strRef>
              <c:f>'Strahler River Volume'!$O$6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Volume'!$P$6:$Y$6</c:f>
              <c:numCache>
                <c:formatCode>General</c:formatCode>
                <c:ptCount val="10"/>
                <c:pt idx="0">
                  <c:v>1.0175581422329867</c:v>
                </c:pt>
                <c:pt idx="1">
                  <c:v>1.5136491420516538</c:v>
                </c:pt>
                <c:pt idx="2">
                  <c:v>2.6354141546447241</c:v>
                </c:pt>
                <c:pt idx="3">
                  <c:v>3.9864227299792958</c:v>
                </c:pt>
                <c:pt idx="4">
                  <c:v>9.2281179389194588</c:v>
                </c:pt>
                <c:pt idx="5">
                  <c:v>28.845420400988932</c:v>
                </c:pt>
                <c:pt idx="6">
                  <c:v>27.238122831559604</c:v>
                </c:pt>
                <c:pt idx="7">
                  <c:v>25.535294659623357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9F-4E84-982B-779C5F4C1815}"/>
            </c:ext>
          </c:extLst>
        </c:ser>
        <c:ser>
          <c:idx val="4"/>
          <c:order val="4"/>
          <c:tx>
            <c:strRef>
              <c:f>'Strahler River Volume'!$O$7</c:f>
              <c:strCache>
                <c:ptCount val="1"/>
                <c:pt idx="0">
                  <c:v>Maracaibo-Carribean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Volume'!$P$7:$Y$7</c:f>
              <c:numCache>
                <c:formatCode>General</c:formatCode>
                <c:ptCount val="10"/>
                <c:pt idx="0">
                  <c:v>5.3358134881239812</c:v>
                </c:pt>
                <c:pt idx="1">
                  <c:v>7.2601428063711602</c:v>
                </c:pt>
                <c:pt idx="2">
                  <c:v>13.757412275554559</c:v>
                </c:pt>
                <c:pt idx="3">
                  <c:v>20.074411656806404</c:v>
                </c:pt>
                <c:pt idx="4">
                  <c:v>27.375855416250989</c:v>
                </c:pt>
                <c:pt idx="5">
                  <c:v>26.196364356892911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9F-4E84-982B-779C5F4C1815}"/>
            </c:ext>
          </c:extLst>
        </c:ser>
        <c:ser>
          <c:idx val="5"/>
          <c:order val="5"/>
          <c:tx>
            <c:strRef>
              <c:f>'Strahler River Volume'!$O$8</c:f>
              <c:strCache>
                <c:ptCount val="1"/>
                <c:pt idx="0">
                  <c:v>North East Atlantic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Volume'!$P$8:$Y$8</c:f>
              <c:numCache>
                <c:formatCode>General</c:formatCode>
                <c:ptCount val="10"/>
                <c:pt idx="0">
                  <c:v>2.9453841402973389</c:v>
                </c:pt>
                <c:pt idx="1">
                  <c:v>3.531281682158093</c:v>
                </c:pt>
                <c:pt idx="2">
                  <c:v>6.6254694331954802</c:v>
                </c:pt>
                <c:pt idx="3">
                  <c:v>11.387229317519038</c:v>
                </c:pt>
                <c:pt idx="4">
                  <c:v>8.057373258693973</c:v>
                </c:pt>
                <c:pt idx="5">
                  <c:v>19.796513471630394</c:v>
                </c:pt>
                <c:pt idx="6">
                  <c:v>12.187034629220895</c:v>
                </c:pt>
                <c:pt idx="7">
                  <c:v>35.469714067284777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9F-4E84-982B-779C5F4C1815}"/>
            </c:ext>
          </c:extLst>
        </c:ser>
        <c:ser>
          <c:idx val="6"/>
          <c:order val="6"/>
          <c:tx>
            <c:strRef>
              <c:f>'Strahler River Volume'!$O$9</c:f>
              <c:strCache>
                <c:ptCount val="1"/>
                <c:pt idx="0">
                  <c:v>North West Pacific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Volume'!$P$9:$Y$9</c:f>
              <c:numCache>
                <c:formatCode>General</c:formatCode>
                <c:ptCount val="10"/>
                <c:pt idx="0">
                  <c:v>3.4713978604785112</c:v>
                </c:pt>
                <c:pt idx="1">
                  <c:v>4.9191665192719709</c:v>
                </c:pt>
                <c:pt idx="2">
                  <c:v>8.3068055835972761</c:v>
                </c:pt>
                <c:pt idx="3">
                  <c:v>18.670476168482491</c:v>
                </c:pt>
                <c:pt idx="4">
                  <c:v>27.496041394783639</c:v>
                </c:pt>
                <c:pt idx="5">
                  <c:v>20.396717941497336</c:v>
                </c:pt>
                <c:pt idx="6">
                  <c:v>16.739394531888781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9F-4E84-982B-779C5F4C1815}"/>
            </c:ext>
          </c:extLst>
        </c:ser>
        <c:ser>
          <c:idx val="7"/>
          <c:order val="7"/>
          <c:tx>
            <c:strRef>
              <c:f>'Strahler River Volume'!$O$10</c:f>
              <c:strCache>
                <c:ptCount val="1"/>
                <c:pt idx="0">
                  <c:v>Orinoco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Volume'!$P$10:$Y$10</c:f>
              <c:numCache>
                <c:formatCode>General</c:formatCode>
                <c:ptCount val="10"/>
                <c:pt idx="0">
                  <c:v>0.47126460349388027</c:v>
                </c:pt>
                <c:pt idx="1">
                  <c:v>0.65391377195375067</c:v>
                </c:pt>
                <c:pt idx="2">
                  <c:v>1.250314146435048</c:v>
                </c:pt>
                <c:pt idx="3">
                  <c:v>2.357829230530077</c:v>
                </c:pt>
                <c:pt idx="4">
                  <c:v>4.5745509286790664</c:v>
                </c:pt>
                <c:pt idx="5">
                  <c:v>10.197830128218852</c:v>
                </c:pt>
                <c:pt idx="6">
                  <c:v>19.683192538543366</c:v>
                </c:pt>
                <c:pt idx="7">
                  <c:v>46.988773496639865</c:v>
                </c:pt>
                <c:pt idx="8">
                  <c:v>13.822331155506101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9F-4E84-982B-779C5F4C1815}"/>
            </c:ext>
          </c:extLst>
        </c:ser>
        <c:ser>
          <c:idx val="8"/>
          <c:order val="8"/>
          <c:tx>
            <c:strRef>
              <c:f>'Strahler River Volume'!$O$11</c:f>
              <c:strCache>
                <c:ptCount val="1"/>
                <c:pt idx="0">
                  <c:v>Parana 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Volume'!$P$11:$Y$11</c:f>
              <c:numCache>
                <c:formatCode>General</c:formatCode>
                <c:ptCount val="10"/>
                <c:pt idx="0">
                  <c:v>0.60230466621695433</c:v>
                </c:pt>
                <c:pt idx="1">
                  <c:v>0.81870650515005261</c:v>
                </c:pt>
                <c:pt idx="2">
                  <c:v>1.6080403081862875</c:v>
                </c:pt>
                <c:pt idx="3">
                  <c:v>3.0928374029785877</c:v>
                </c:pt>
                <c:pt idx="4">
                  <c:v>5.8073786318231164</c:v>
                </c:pt>
                <c:pt idx="5">
                  <c:v>8.3273011305140177</c:v>
                </c:pt>
                <c:pt idx="6">
                  <c:v>11.352883700198056</c:v>
                </c:pt>
                <c:pt idx="7">
                  <c:v>38.958607743913078</c:v>
                </c:pt>
                <c:pt idx="8">
                  <c:v>29.431939911019846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9F-4E84-982B-779C5F4C1815}"/>
            </c:ext>
          </c:extLst>
        </c:ser>
        <c:ser>
          <c:idx val="9"/>
          <c:order val="9"/>
          <c:tx>
            <c:strRef>
              <c:f>'Strahler River Volume'!$O$12</c:f>
              <c:strCache>
                <c:ptCount val="1"/>
                <c:pt idx="0">
                  <c:v>Sao Francisco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Volume'!$P$12:$Y$12</c:f>
              <c:numCache>
                <c:formatCode>General</c:formatCode>
                <c:ptCount val="10"/>
                <c:pt idx="0">
                  <c:v>0.86012764391713437</c:v>
                </c:pt>
                <c:pt idx="1">
                  <c:v>1.2296999916510321</c:v>
                </c:pt>
                <c:pt idx="2">
                  <c:v>2.3015304848715923</c:v>
                </c:pt>
                <c:pt idx="3">
                  <c:v>3.5988950090037122</c:v>
                </c:pt>
                <c:pt idx="4">
                  <c:v>8.1992020886827834</c:v>
                </c:pt>
                <c:pt idx="5">
                  <c:v>9.3518657883897802</c:v>
                </c:pt>
                <c:pt idx="6">
                  <c:v>74.458678993483957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9F-4E84-982B-779C5F4C1815}"/>
            </c:ext>
          </c:extLst>
        </c:ser>
        <c:ser>
          <c:idx val="10"/>
          <c:order val="10"/>
          <c:tx>
            <c:strRef>
              <c:f>'Strahler River Volume'!$O$13</c:f>
              <c:strCache>
                <c:ptCount val="1"/>
                <c:pt idx="0">
                  <c:v>South East Atlantic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Volume'!$P$13:$Y$13</c:f>
              <c:numCache>
                <c:formatCode>General</c:formatCode>
                <c:ptCount val="10"/>
                <c:pt idx="0">
                  <c:v>1.3574498005410656</c:v>
                </c:pt>
                <c:pt idx="1">
                  <c:v>1.8361135884404085</c:v>
                </c:pt>
                <c:pt idx="2">
                  <c:v>3.4378516789925539</c:v>
                </c:pt>
                <c:pt idx="3">
                  <c:v>6.3276291513670024</c:v>
                </c:pt>
                <c:pt idx="4">
                  <c:v>11.801774927913106</c:v>
                </c:pt>
                <c:pt idx="5">
                  <c:v>43.633226916287263</c:v>
                </c:pt>
                <c:pt idx="6">
                  <c:v>31.605953936458597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9F-4E84-982B-779C5F4C1815}"/>
            </c:ext>
          </c:extLst>
        </c:ser>
        <c:ser>
          <c:idx val="11"/>
          <c:order val="11"/>
          <c:tx>
            <c:strRef>
              <c:f>'Strahler River Volume'!$O$14</c:f>
              <c:strCache>
                <c:ptCount val="1"/>
                <c:pt idx="0">
                  <c:v>Southern Cone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Volume'!$P$14:$Y$14</c:f>
              <c:numCache>
                <c:formatCode>General</c:formatCode>
                <c:ptCount val="10"/>
                <c:pt idx="0">
                  <c:v>2.8461758716240357</c:v>
                </c:pt>
                <c:pt idx="1">
                  <c:v>3.6952639788885251</c:v>
                </c:pt>
                <c:pt idx="2">
                  <c:v>5.8915527528260467</c:v>
                </c:pt>
                <c:pt idx="3">
                  <c:v>10.859251795310215</c:v>
                </c:pt>
                <c:pt idx="4">
                  <c:v>20.892690540545107</c:v>
                </c:pt>
                <c:pt idx="5">
                  <c:v>31.746772579614664</c:v>
                </c:pt>
                <c:pt idx="6">
                  <c:v>24.068292481191406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9F-4E84-982B-779C5F4C1815}"/>
            </c:ext>
          </c:extLst>
        </c:ser>
        <c:ser>
          <c:idx val="12"/>
          <c:order val="12"/>
          <c:tx>
            <c:strRef>
              <c:f>'Strahler River Volume'!$O$15</c:f>
              <c:strCache>
                <c:ptCount val="1"/>
                <c:pt idx="0">
                  <c:v>Titicaca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Volume'!$P$2:$Y$2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Volume'!$P$15:$Y$15</c:f>
              <c:numCache>
                <c:formatCode>General</c:formatCode>
                <c:ptCount val="10"/>
                <c:pt idx="0">
                  <c:v>2.1193549632840507</c:v>
                </c:pt>
                <c:pt idx="1">
                  <c:v>2.2825240894532119</c:v>
                </c:pt>
                <c:pt idx="2">
                  <c:v>3.4524403367612697</c:v>
                </c:pt>
                <c:pt idx="3">
                  <c:v>8.1136934465069448</c:v>
                </c:pt>
                <c:pt idx="4">
                  <c:v>8.4335765713427744</c:v>
                </c:pt>
                <c:pt idx="5">
                  <c:v>75.598410592651746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9F-4E84-982B-779C5F4C1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834240"/>
        <c:axId val="1364333344"/>
      </c:lineChart>
      <c:catAx>
        <c:axId val="13928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33344"/>
        <c:crosses val="autoZero"/>
        <c:auto val="1"/>
        <c:lblAlgn val="ctr"/>
        <c:lblOffset val="100"/>
        <c:noMultiLvlLbl val="0"/>
      </c:catAx>
      <c:valAx>
        <c:axId val="13643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River Length (Kilometer) per Strahler</a:t>
            </a:r>
            <a:r>
              <a:rPr lang="en-US" baseline="0"/>
              <a:t> Stream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'Strahler River Length'!$A$3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Length'!$B$3:$K$3</c:f>
              <c:numCache>
                <c:formatCode>General</c:formatCode>
                <c:ptCount val="10"/>
                <c:pt idx="0">
                  <c:v>1239481.8799940001</c:v>
                </c:pt>
                <c:pt idx="1">
                  <c:v>595188.35145700001</c:v>
                </c:pt>
                <c:pt idx="2">
                  <c:v>284190.38068900001</c:v>
                </c:pt>
                <c:pt idx="3">
                  <c:v>140101.590306</c:v>
                </c:pt>
                <c:pt idx="4">
                  <c:v>78012.910139</c:v>
                </c:pt>
                <c:pt idx="5">
                  <c:v>45290.010101</c:v>
                </c:pt>
                <c:pt idx="6">
                  <c:v>19254.610026999999</c:v>
                </c:pt>
                <c:pt idx="7">
                  <c:v>11936.450006999999</c:v>
                </c:pt>
                <c:pt idx="8">
                  <c:v>4699.7599950000003</c:v>
                </c:pt>
                <c:pt idx="9">
                  <c:v>1319.2100009999999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C-45F6-931B-FE156A694A77}"/>
            </c:ext>
          </c:extLst>
        </c:ser>
        <c:ser>
          <c:idx val="1"/>
          <c:order val="1"/>
          <c:tx>
            <c:strRef>
              <c:f>'Strahler River Length'!$A$4</c:f>
              <c:strCache>
                <c:ptCount val="1"/>
                <c:pt idx="0">
                  <c:v>East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Length'!$B$4:$K$4</c:f>
              <c:numCache>
                <c:formatCode>General</c:formatCode>
                <c:ptCount val="10"/>
                <c:pt idx="0">
                  <c:v>69433.110008000003</c:v>
                </c:pt>
                <c:pt idx="1">
                  <c:v>33864.770019000003</c:v>
                </c:pt>
                <c:pt idx="2">
                  <c:v>16839.18</c:v>
                </c:pt>
                <c:pt idx="3">
                  <c:v>9692.7100009999995</c:v>
                </c:pt>
                <c:pt idx="4">
                  <c:v>4921.2500049999999</c:v>
                </c:pt>
                <c:pt idx="5">
                  <c:v>1529.69</c:v>
                </c:pt>
                <c:pt idx="6">
                  <c:v>281.310001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C-45F6-931B-FE156A694A77}"/>
            </c:ext>
          </c:extLst>
        </c:ser>
        <c:ser>
          <c:idx val="2"/>
          <c:order val="2"/>
          <c:tx>
            <c:strRef>
              <c:f>'Strahler River Length'!$A$5</c:f>
              <c:strCache>
                <c:ptCount val="1"/>
                <c:pt idx="0">
                  <c:v>Guianas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Length'!$B$5:$K$5</c:f>
              <c:numCache>
                <c:formatCode>General</c:formatCode>
                <c:ptCount val="10"/>
                <c:pt idx="0">
                  <c:v>102290.59995800001</c:v>
                </c:pt>
                <c:pt idx="1">
                  <c:v>46787.470114999996</c:v>
                </c:pt>
                <c:pt idx="2">
                  <c:v>21846.380041</c:v>
                </c:pt>
                <c:pt idx="3">
                  <c:v>10815.940022000001</c:v>
                </c:pt>
                <c:pt idx="4">
                  <c:v>7198.9700119999998</c:v>
                </c:pt>
                <c:pt idx="5">
                  <c:v>3720.1600149999999</c:v>
                </c:pt>
                <c:pt idx="6">
                  <c:v>1443.649999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C-45F6-931B-FE156A694A77}"/>
            </c:ext>
          </c:extLst>
        </c:ser>
        <c:ser>
          <c:idx val="3"/>
          <c:order val="3"/>
          <c:tx>
            <c:strRef>
              <c:f>'Strahler River Length'!$A$6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Length'!$B$6:$K$6</c:f>
              <c:numCache>
                <c:formatCode>General</c:formatCode>
                <c:ptCount val="10"/>
                <c:pt idx="0">
                  <c:v>58427.259948999999</c:v>
                </c:pt>
                <c:pt idx="1">
                  <c:v>29582.040023000001</c:v>
                </c:pt>
                <c:pt idx="2">
                  <c:v>15014.490019000001</c:v>
                </c:pt>
                <c:pt idx="3">
                  <c:v>6693.4700140000004</c:v>
                </c:pt>
                <c:pt idx="4">
                  <c:v>3706.8600029999998</c:v>
                </c:pt>
                <c:pt idx="5">
                  <c:v>2193.2300030000001</c:v>
                </c:pt>
                <c:pt idx="6">
                  <c:v>710.91999899999996</c:v>
                </c:pt>
                <c:pt idx="7">
                  <c:v>314.96000299999997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C-45F6-931B-FE156A694A77}"/>
            </c:ext>
          </c:extLst>
        </c:ser>
        <c:ser>
          <c:idx val="4"/>
          <c:order val="4"/>
          <c:tx>
            <c:strRef>
              <c:f>'Strahler River Length'!$A$7</c:f>
              <c:strCache>
                <c:ptCount val="1"/>
                <c:pt idx="0">
                  <c:v>Maracaibo-Carribean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Length'!$B$7:$K$7</c:f>
              <c:numCache>
                <c:formatCode>General</c:formatCode>
                <c:ptCount val="10"/>
                <c:pt idx="0">
                  <c:v>34030.15</c:v>
                </c:pt>
                <c:pt idx="1">
                  <c:v>16395.510000999999</c:v>
                </c:pt>
                <c:pt idx="2">
                  <c:v>8362.3599969999996</c:v>
                </c:pt>
                <c:pt idx="3">
                  <c:v>4102.139999</c:v>
                </c:pt>
                <c:pt idx="4">
                  <c:v>1511.8199990000001</c:v>
                </c:pt>
                <c:pt idx="5">
                  <c:v>559.94000100000005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2C-45F6-931B-FE156A694A77}"/>
            </c:ext>
          </c:extLst>
        </c:ser>
        <c:ser>
          <c:idx val="5"/>
          <c:order val="5"/>
          <c:tx>
            <c:strRef>
              <c:f>'Strahler River Length'!$A$8</c:f>
              <c:strCache>
                <c:ptCount val="1"/>
                <c:pt idx="0">
                  <c:v>North East Atlantic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Length'!$B$8:$K$8</c:f>
              <c:numCache>
                <c:formatCode>General</c:formatCode>
                <c:ptCount val="10"/>
                <c:pt idx="0">
                  <c:v>71189.169980999999</c:v>
                </c:pt>
                <c:pt idx="1">
                  <c:v>34101.250009000003</c:v>
                </c:pt>
                <c:pt idx="2">
                  <c:v>17864.180018999999</c:v>
                </c:pt>
                <c:pt idx="3">
                  <c:v>9106.3399939999999</c:v>
                </c:pt>
                <c:pt idx="4">
                  <c:v>2694.4600009999999</c:v>
                </c:pt>
                <c:pt idx="5">
                  <c:v>2904.7600029999999</c:v>
                </c:pt>
                <c:pt idx="6">
                  <c:v>497.930001</c:v>
                </c:pt>
                <c:pt idx="7">
                  <c:v>573.35000100000002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C-45F6-931B-FE156A694A77}"/>
            </c:ext>
          </c:extLst>
        </c:ser>
        <c:ser>
          <c:idx val="6"/>
          <c:order val="6"/>
          <c:tx>
            <c:strRef>
              <c:f>'Strahler River Length'!$A$9</c:f>
              <c:strCache>
                <c:ptCount val="1"/>
                <c:pt idx="0">
                  <c:v>North West Pacific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Length'!$B$9:$K$9</c:f>
              <c:numCache>
                <c:formatCode>General</c:formatCode>
                <c:ptCount val="10"/>
                <c:pt idx="0">
                  <c:v>79980.770006000006</c:v>
                </c:pt>
                <c:pt idx="1">
                  <c:v>37635.860090000002</c:v>
                </c:pt>
                <c:pt idx="2">
                  <c:v>17421.270044000001</c:v>
                </c:pt>
                <c:pt idx="3">
                  <c:v>10071.070019999999</c:v>
                </c:pt>
                <c:pt idx="4">
                  <c:v>4266.810015</c:v>
                </c:pt>
                <c:pt idx="5">
                  <c:v>1263.080003</c:v>
                </c:pt>
                <c:pt idx="6">
                  <c:v>360.38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2C-45F6-931B-FE156A694A77}"/>
            </c:ext>
          </c:extLst>
        </c:ser>
        <c:ser>
          <c:idx val="7"/>
          <c:order val="7"/>
          <c:tx>
            <c:strRef>
              <c:f>'Strahler River Length'!$A$10</c:f>
              <c:strCache>
                <c:ptCount val="1"/>
                <c:pt idx="0">
                  <c:v>Orinoco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Length'!$B$10:$K$10</c:f>
              <c:numCache>
                <c:formatCode>General</c:formatCode>
                <c:ptCount val="10"/>
                <c:pt idx="0">
                  <c:v>179849.31974000001</c:v>
                </c:pt>
                <c:pt idx="1">
                  <c:v>84664.590121000001</c:v>
                </c:pt>
                <c:pt idx="2">
                  <c:v>42197.250052000003</c:v>
                </c:pt>
                <c:pt idx="3">
                  <c:v>21282.850036</c:v>
                </c:pt>
                <c:pt idx="4">
                  <c:v>11419.670001</c:v>
                </c:pt>
                <c:pt idx="5">
                  <c:v>6813.7600039999998</c:v>
                </c:pt>
                <c:pt idx="6">
                  <c:v>3877.680006</c:v>
                </c:pt>
                <c:pt idx="7">
                  <c:v>1332.920003</c:v>
                </c:pt>
                <c:pt idx="8">
                  <c:v>236.08000100000001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2C-45F6-931B-FE156A694A77}"/>
            </c:ext>
          </c:extLst>
        </c:ser>
        <c:ser>
          <c:idx val="8"/>
          <c:order val="8"/>
          <c:tx>
            <c:strRef>
              <c:f>'Strahler River Length'!$A$11</c:f>
              <c:strCache>
                <c:ptCount val="1"/>
                <c:pt idx="0">
                  <c:v>Parana 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Length'!$B$11:$K$11</c:f>
              <c:numCache>
                <c:formatCode>General</c:formatCode>
                <c:ptCount val="10"/>
                <c:pt idx="0">
                  <c:v>368851.57990900002</c:v>
                </c:pt>
                <c:pt idx="1">
                  <c:v>188473.54999</c:v>
                </c:pt>
                <c:pt idx="2">
                  <c:v>99063.119995000001</c:v>
                </c:pt>
                <c:pt idx="3">
                  <c:v>47126.429977</c:v>
                </c:pt>
                <c:pt idx="4">
                  <c:v>22198.099998000002</c:v>
                </c:pt>
                <c:pt idx="5">
                  <c:v>10187.509996000001</c:v>
                </c:pt>
                <c:pt idx="6">
                  <c:v>4886.7300100000002</c:v>
                </c:pt>
                <c:pt idx="7">
                  <c:v>3180.570001</c:v>
                </c:pt>
                <c:pt idx="8">
                  <c:v>1090.0799979999999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2C-45F6-931B-FE156A694A77}"/>
            </c:ext>
          </c:extLst>
        </c:ser>
        <c:ser>
          <c:idx val="9"/>
          <c:order val="9"/>
          <c:tx>
            <c:strRef>
              <c:f>'Strahler River Length'!$A$12</c:f>
              <c:strCache>
                <c:ptCount val="1"/>
                <c:pt idx="0">
                  <c:v>Sao Francisco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Length'!$B$12:$K$12</c:f>
              <c:numCache>
                <c:formatCode>General</c:formatCode>
                <c:ptCount val="10"/>
                <c:pt idx="0">
                  <c:v>74814.749987000003</c:v>
                </c:pt>
                <c:pt idx="1">
                  <c:v>37131.539993999999</c:v>
                </c:pt>
                <c:pt idx="2">
                  <c:v>18919.700011000001</c:v>
                </c:pt>
                <c:pt idx="3">
                  <c:v>8329.349999</c:v>
                </c:pt>
                <c:pt idx="4">
                  <c:v>4909.8500009999998</c:v>
                </c:pt>
                <c:pt idx="5">
                  <c:v>1247.760002</c:v>
                </c:pt>
                <c:pt idx="6">
                  <c:v>2027.3900020000001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2C-45F6-931B-FE156A694A77}"/>
            </c:ext>
          </c:extLst>
        </c:ser>
        <c:ser>
          <c:idx val="10"/>
          <c:order val="10"/>
          <c:tx>
            <c:strRef>
              <c:f>'Strahler River Length'!$A$13</c:f>
              <c:strCache>
                <c:ptCount val="1"/>
                <c:pt idx="0">
                  <c:v>South East Atlantic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Length'!$B$13:$K$13</c:f>
              <c:numCache>
                <c:formatCode>General</c:formatCode>
                <c:ptCount val="10"/>
                <c:pt idx="0">
                  <c:v>96310.239994999996</c:v>
                </c:pt>
                <c:pt idx="1">
                  <c:v>47799.650019000001</c:v>
                </c:pt>
                <c:pt idx="2">
                  <c:v>24349.970024999999</c:v>
                </c:pt>
                <c:pt idx="3">
                  <c:v>12087.850019</c:v>
                </c:pt>
                <c:pt idx="4">
                  <c:v>5943.080011</c:v>
                </c:pt>
                <c:pt idx="5">
                  <c:v>3414.6100029999998</c:v>
                </c:pt>
                <c:pt idx="6">
                  <c:v>783.22000100000002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2C-45F6-931B-FE156A694A77}"/>
            </c:ext>
          </c:extLst>
        </c:ser>
        <c:ser>
          <c:idx val="11"/>
          <c:order val="11"/>
          <c:tx>
            <c:strRef>
              <c:f>'Strahler River Length'!$A$14</c:f>
              <c:strCache>
                <c:ptCount val="1"/>
                <c:pt idx="0">
                  <c:v>Southern Cone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Length'!$B$14:$K$14</c:f>
              <c:numCache>
                <c:formatCode>General</c:formatCode>
                <c:ptCount val="10"/>
                <c:pt idx="0">
                  <c:v>307596.930016</c:v>
                </c:pt>
                <c:pt idx="1">
                  <c:v>147315.940003</c:v>
                </c:pt>
                <c:pt idx="2">
                  <c:v>65427.290004000002</c:v>
                </c:pt>
                <c:pt idx="3">
                  <c:v>27315.430016999999</c:v>
                </c:pt>
                <c:pt idx="4">
                  <c:v>12223.990008000001</c:v>
                </c:pt>
                <c:pt idx="5">
                  <c:v>6146.8900080000003</c:v>
                </c:pt>
                <c:pt idx="6">
                  <c:v>2992.7599989999999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2C-45F6-931B-FE156A694A77}"/>
            </c:ext>
          </c:extLst>
        </c:ser>
        <c:ser>
          <c:idx val="12"/>
          <c:order val="12"/>
          <c:tx>
            <c:strRef>
              <c:f>'Strahler River Length'!$A$15</c:f>
              <c:strCache>
                <c:ptCount val="1"/>
                <c:pt idx="0">
                  <c:v>Titicaca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Length'!$B$15:$K$15</c:f>
              <c:numCache>
                <c:formatCode>General</c:formatCode>
                <c:ptCount val="10"/>
                <c:pt idx="0">
                  <c:v>42006.069983000001</c:v>
                </c:pt>
                <c:pt idx="1">
                  <c:v>19483.940018000001</c:v>
                </c:pt>
                <c:pt idx="2">
                  <c:v>8717.24</c:v>
                </c:pt>
                <c:pt idx="3">
                  <c:v>4319.0400049999998</c:v>
                </c:pt>
                <c:pt idx="4">
                  <c:v>1065.600005</c:v>
                </c:pt>
                <c:pt idx="5">
                  <c:v>1208.1699960000001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2C-45F6-931B-FE156A694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448176"/>
        <c:axId val="1782551056"/>
      </c:lineChart>
      <c:catAx>
        <c:axId val="17804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51056"/>
        <c:crosses val="autoZero"/>
        <c:auto val="1"/>
        <c:lblAlgn val="ctr"/>
        <c:lblOffset val="100"/>
        <c:noMultiLvlLbl val="0"/>
      </c:catAx>
      <c:valAx>
        <c:axId val="17825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River Length per Strahler Stream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'Strahler River Length'!$N$3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Length'!$O$3:$X$3</c:f>
              <c:numCache>
                <c:formatCode>General</c:formatCode>
                <c:ptCount val="10"/>
                <c:pt idx="0">
                  <c:v>51.229370080639626</c:v>
                </c:pt>
                <c:pt idx="1">
                  <c:v>24.59989517928576</c:v>
                </c:pt>
                <c:pt idx="2">
                  <c:v>11.745951611446804</c:v>
                </c:pt>
                <c:pt idx="3">
                  <c:v>5.7905777684357673</c:v>
                </c:pt>
                <c:pt idx="4">
                  <c:v>3.2243732716753062</c:v>
                </c:pt>
                <c:pt idx="5">
                  <c:v>1.8718939952807272</c:v>
                </c:pt>
                <c:pt idx="6">
                  <c:v>0.7958176386058603</c:v>
                </c:pt>
                <c:pt idx="7">
                  <c:v>0.49334873282747499</c:v>
                </c:pt>
                <c:pt idx="8">
                  <c:v>0.19424708659331549</c:v>
                </c:pt>
                <c:pt idx="9">
                  <c:v>5.4524635209380473E-2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7-4590-B85E-2B9407D79695}"/>
            </c:ext>
          </c:extLst>
        </c:ser>
        <c:ser>
          <c:idx val="1"/>
          <c:order val="1"/>
          <c:tx>
            <c:strRef>
              <c:f>'Strahler River Length'!$N$4</c:f>
              <c:strCache>
                <c:ptCount val="1"/>
                <c:pt idx="0">
                  <c:v>East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Length'!$O$4:$X$4</c:f>
              <c:numCache>
                <c:formatCode>General</c:formatCode>
                <c:ptCount val="10"/>
                <c:pt idx="0">
                  <c:v>50.843645979103968</c:v>
                </c:pt>
                <c:pt idx="1">
                  <c:v>24.798088085229445</c:v>
                </c:pt>
                <c:pt idx="2">
                  <c:v>12.330792994866016</c:v>
                </c:pt>
                <c:pt idx="3">
                  <c:v>7.0976615596245534</c:v>
                </c:pt>
                <c:pt idx="4">
                  <c:v>3.603673996455786</c:v>
                </c:pt>
                <c:pt idx="5">
                  <c:v>1.1201430673178028</c:v>
                </c:pt>
                <c:pt idx="6">
                  <c:v>0.2059943174024241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7-4590-B85E-2B9407D79695}"/>
            </c:ext>
          </c:extLst>
        </c:ser>
        <c:ser>
          <c:idx val="2"/>
          <c:order val="2"/>
          <c:tx>
            <c:strRef>
              <c:f>'Strahler River Length'!$N$5</c:f>
              <c:strCache>
                <c:ptCount val="1"/>
                <c:pt idx="0">
                  <c:v>Guianas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Length'!$O$5:$X$5</c:f>
              <c:numCache>
                <c:formatCode>General</c:formatCode>
                <c:ptCount val="10"/>
                <c:pt idx="0">
                  <c:v>52.699087744227711</c:v>
                </c:pt>
                <c:pt idx="1">
                  <c:v>24.104433779185992</c:v>
                </c:pt>
                <c:pt idx="2">
                  <c:v>11.255035156183613</c:v>
                </c:pt>
                <c:pt idx="3">
                  <c:v>5.5722634581253541</c:v>
                </c:pt>
                <c:pt idx="4">
                  <c:v>3.7088369066778681</c:v>
                </c:pt>
                <c:pt idx="5">
                  <c:v>1.9165890036186046</c:v>
                </c:pt>
                <c:pt idx="6">
                  <c:v>0.74375395198085559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7-4590-B85E-2B9407D79695}"/>
            </c:ext>
          </c:extLst>
        </c:ser>
        <c:ser>
          <c:idx val="3"/>
          <c:order val="3"/>
          <c:tx>
            <c:strRef>
              <c:f>'Strahler River Length'!$N$6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Length'!$O$6:$X$6</c:f>
              <c:numCache>
                <c:formatCode>General</c:formatCode>
                <c:ptCount val="10"/>
                <c:pt idx="0">
                  <c:v>50.090571002267524</c:v>
                </c:pt>
                <c:pt idx="1">
                  <c:v>25.361128991115084</c:v>
                </c:pt>
                <c:pt idx="2">
                  <c:v>12.872148702780795</c:v>
                </c:pt>
                <c:pt idx="3">
                  <c:v>5.7384127765100521</c:v>
                </c:pt>
                <c:pt idx="4">
                  <c:v>3.1779469777944818</c:v>
                </c:pt>
                <c:pt idx="5">
                  <c:v>1.8802891541631368</c:v>
                </c:pt>
                <c:pt idx="6">
                  <c:v>0.60948243538932101</c:v>
                </c:pt>
                <c:pt idx="7">
                  <c:v>0.27001995997958672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F7-4590-B85E-2B9407D79695}"/>
            </c:ext>
          </c:extLst>
        </c:ser>
        <c:ser>
          <c:idx val="4"/>
          <c:order val="4"/>
          <c:tx>
            <c:strRef>
              <c:f>'Strahler River Length'!$N$7</c:f>
              <c:strCache>
                <c:ptCount val="1"/>
                <c:pt idx="0">
                  <c:v>Maracaibo-Carribean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Length'!$O$7:$X$7</c:f>
              <c:numCache>
                <c:formatCode>General</c:formatCode>
                <c:ptCount val="10"/>
                <c:pt idx="0">
                  <c:v>52.384766339374735</c:v>
                </c:pt>
                <c:pt idx="1">
                  <c:v>25.238647505734374</c:v>
                </c:pt>
                <c:pt idx="2">
                  <c:v>12.872710654774643</c:v>
                </c:pt>
                <c:pt idx="3">
                  <c:v>6.3146840474995827</c:v>
                </c:pt>
                <c:pt idx="4">
                  <c:v>2.3272403264401933</c:v>
                </c:pt>
                <c:pt idx="5">
                  <c:v>0.86195112617647174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F7-4590-B85E-2B9407D79695}"/>
            </c:ext>
          </c:extLst>
        </c:ser>
        <c:ser>
          <c:idx val="5"/>
          <c:order val="5"/>
          <c:tx>
            <c:strRef>
              <c:f>'Strahler River Length'!$N$8</c:f>
              <c:strCache>
                <c:ptCount val="1"/>
                <c:pt idx="0">
                  <c:v>North East Atlantic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Length'!$O$8:$X$8</c:f>
              <c:numCache>
                <c:formatCode>General</c:formatCode>
                <c:ptCount val="10"/>
                <c:pt idx="0">
                  <c:v>51.240503932290885</c:v>
                </c:pt>
                <c:pt idx="1">
                  <c:v>24.545380085883309</c:v>
                </c:pt>
                <c:pt idx="2">
                  <c:v>12.858270250306736</c:v>
                </c:pt>
                <c:pt idx="3">
                  <c:v>6.55455668883162</c:v>
                </c:pt>
                <c:pt idx="4">
                  <c:v>1.9394170252791247</c:v>
                </c:pt>
                <c:pt idx="5">
                  <c:v>2.0907866518995477</c:v>
                </c:pt>
                <c:pt idx="6">
                  <c:v>0.35839979846731884</c:v>
                </c:pt>
                <c:pt idx="7">
                  <c:v>0.41268556704145465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F7-4590-B85E-2B9407D79695}"/>
            </c:ext>
          </c:extLst>
        </c:ser>
        <c:ser>
          <c:idx val="6"/>
          <c:order val="6"/>
          <c:tx>
            <c:strRef>
              <c:f>'Strahler River Length'!$N$9</c:f>
              <c:strCache>
                <c:ptCount val="1"/>
                <c:pt idx="0">
                  <c:v>North West Pacific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Length'!$O$9:$X$9</c:f>
              <c:numCache>
                <c:formatCode>General</c:formatCode>
                <c:ptCount val="10"/>
                <c:pt idx="0">
                  <c:v>52.967663884743757</c:v>
                </c:pt>
                <c:pt idx="1">
                  <c:v>24.924536074244028</c:v>
                </c:pt>
                <c:pt idx="2">
                  <c:v>11.53732298484652</c:v>
                </c:pt>
                <c:pt idx="3">
                  <c:v>6.6696163557697901</c:v>
                </c:pt>
                <c:pt idx="4">
                  <c:v>2.8257162155056039</c:v>
                </c:pt>
                <c:pt idx="5">
                  <c:v>0.83648103229596615</c:v>
                </c:pt>
                <c:pt idx="6">
                  <c:v>0.23866345259431701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F7-4590-B85E-2B9407D79695}"/>
            </c:ext>
          </c:extLst>
        </c:ser>
        <c:ser>
          <c:idx val="7"/>
          <c:order val="7"/>
          <c:tx>
            <c:strRef>
              <c:f>'Strahler River Length'!$N$10</c:f>
              <c:strCache>
                <c:ptCount val="1"/>
                <c:pt idx="0">
                  <c:v>Orinoco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Length'!$O$10:$X$10</c:f>
              <c:numCache>
                <c:formatCode>General</c:formatCode>
                <c:ptCount val="10"/>
                <c:pt idx="0">
                  <c:v>51.140902764869566</c:v>
                </c:pt>
                <c:pt idx="1">
                  <c:v>24.074728652101811</c:v>
                </c:pt>
                <c:pt idx="2">
                  <c:v>11.998963715703512</c:v>
                </c:pt>
                <c:pt idx="3">
                  <c:v>6.0518670063576678</c:v>
                </c:pt>
                <c:pt idx="4">
                  <c:v>3.24723070385987</c:v>
                </c:pt>
                <c:pt idx="5">
                  <c:v>1.9375210222172468</c:v>
                </c:pt>
                <c:pt idx="6">
                  <c:v>1.102634452144772</c:v>
                </c:pt>
                <c:pt idx="7">
                  <c:v>0.37902135168105278</c:v>
                </c:pt>
                <c:pt idx="8">
                  <c:v>6.7130331064499976E-2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F7-4590-B85E-2B9407D79695}"/>
            </c:ext>
          </c:extLst>
        </c:ser>
        <c:ser>
          <c:idx val="8"/>
          <c:order val="8"/>
          <c:tx>
            <c:strRef>
              <c:f>'Strahler River Length'!$N$11</c:f>
              <c:strCache>
                <c:ptCount val="1"/>
                <c:pt idx="0">
                  <c:v>Parana 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Length'!$O$11:$X$11</c:f>
              <c:numCache>
                <c:formatCode>General</c:formatCode>
                <c:ptCount val="10"/>
                <c:pt idx="0">
                  <c:v>49.506446926635647</c:v>
                </c:pt>
                <c:pt idx="1">
                  <c:v>25.296504903019606</c:v>
                </c:pt>
                <c:pt idx="2">
                  <c:v>13.296033850876674</c:v>
                </c:pt>
                <c:pt idx="3">
                  <c:v>6.3252056696456487</c:v>
                </c:pt>
                <c:pt idx="4">
                  <c:v>2.9793801064760563</c:v>
                </c:pt>
                <c:pt idx="5">
                  <c:v>1.3673451610427494</c:v>
                </c:pt>
                <c:pt idx="6">
                  <c:v>0.65588614245477361</c:v>
                </c:pt>
                <c:pt idx="7">
                  <c:v>0.42688910262985158</c:v>
                </c:pt>
                <c:pt idx="8">
                  <c:v>0.14630813721900859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F7-4590-B85E-2B9407D79695}"/>
            </c:ext>
          </c:extLst>
        </c:ser>
        <c:ser>
          <c:idx val="9"/>
          <c:order val="9"/>
          <c:tx>
            <c:strRef>
              <c:f>'Strahler River Length'!$N$12</c:f>
              <c:strCache>
                <c:ptCount val="1"/>
                <c:pt idx="0">
                  <c:v>Sao Francisco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Length'!$O$12:$X$12</c:f>
              <c:numCache>
                <c:formatCode>General</c:formatCode>
                <c:ptCount val="10"/>
                <c:pt idx="0">
                  <c:v>50.763046135617898</c:v>
                </c:pt>
                <c:pt idx="1">
                  <c:v>25.194364455264363</c:v>
                </c:pt>
                <c:pt idx="2">
                  <c:v>12.837329600076572</c:v>
                </c:pt>
                <c:pt idx="3">
                  <c:v>5.6516018345635946</c:v>
                </c:pt>
                <c:pt idx="4">
                  <c:v>3.3314144892956929</c:v>
                </c:pt>
                <c:pt idx="5">
                  <c:v>0.84662581320810137</c:v>
                </c:pt>
                <c:pt idx="6">
                  <c:v>1.3756176719737683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F7-4590-B85E-2B9407D79695}"/>
            </c:ext>
          </c:extLst>
        </c:ser>
        <c:ser>
          <c:idx val="10"/>
          <c:order val="10"/>
          <c:tx>
            <c:strRef>
              <c:f>'Strahler River Length'!$N$13</c:f>
              <c:strCache>
                <c:ptCount val="1"/>
                <c:pt idx="0">
                  <c:v>South East Atlantic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Length'!$O$13:$X$13</c:f>
              <c:numCache>
                <c:formatCode>General</c:formatCode>
                <c:ptCount val="10"/>
                <c:pt idx="0">
                  <c:v>50.506548297496835</c:v>
                </c:pt>
                <c:pt idx="1">
                  <c:v>25.066860309074123</c:v>
                </c:pt>
                <c:pt idx="2">
                  <c:v>12.769493017296085</c:v>
                </c:pt>
                <c:pt idx="3">
                  <c:v>6.3390515985550104</c:v>
                </c:pt>
                <c:pt idx="4">
                  <c:v>3.1166411549492836</c:v>
                </c:pt>
                <c:pt idx="5">
                  <c:v>1.7906731936561331</c:v>
                </c:pt>
                <c:pt idx="6">
                  <c:v>0.410732428972513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F7-4590-B85E-2B9407D79695}"/>
            </c:ext>
          </c:extLst>
        </c:ser>
        <c:ser>
          <c:idx val="11"/>
          <c:order val="11"/>
          <c:tx>
            <c:strRef>
              <c:f>'Strahler River Length'!$N$14</c:f>
              <c:strCache>
                <c:ptCount val="1"/>
                <c:pt idx="0">
                  <c:v>Southern Cone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Length'!$O$14:$X$14</c:f>
              <c:numCache>
                <c:formatCode>General</c:formatCode>
                <c:ptCount val="10"/>
                <c:pt idx="0">
                  <c:v>54.057387478146993</c:v>
                </c:pt>
                <c:pt idx="1">
                  <c:v>25.889448409109267</c:v>
                </c:pt>
                <c:pt idx="2">
                  <c:v>11.498256394195316</c:v>
                </c:pt>
                <c:pt idx="3">
                  <c:v>4.8004405781435109</c:v>
                </c:pt>
                <c:pt idx="4">
                  <c:v>2.1482560451987638</c:v>
                </c:pt>
                <c:pt idx="5">
                  <c:v>1.0802605049755272</c:v>
                </c:pt>
                <c:pt idx="6">
                  <c:v>0.52595059023061963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F7-4590-B85E-2B9407D79695}"/>
            </c:ext>
          </c:extLst>
        </c:ser>
        <c:ser>
          <c:idx val="12"/>
          <c:order val="12"/>
          <c:tx>
            <c:strRef>
              <c:f>'Strahler River Length'!$N$15</c:f>
              <c:strCache>
                <c:ptCount val="1"/>
                <c:pt idx="0">
                  <c:v>Titicaca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'Strahler River Length'!$O$2:$X$2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'Strahler River Length'!$O$15:$X$15</c:f>
              <c:numCache>
                <c:formatCode>General</c:formatCode>
                <c:ptCount val="10"/>
                <c:pt idx="0">
                  <c:v>54.695360887961961</c:v>
                </c:pt>
                <c:pt idx="1">
                  <c:v>25.369693742718585</c:v>
                </c:pt>
                <c:pt idx="2">
                  <c:v>11.350564048003946</c:v>
                </c:pt>
                <c:pt idx="3">
                  <c:v>5.6237456124465757</c:v>
                </c:pt>
                <c:pt idx="4">
                  <c:v>1.3874989224004188</c:v>
                </c:pt>
                <c:pt idx="5">
                  <c:v>1.5731367864685006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F7-4590-B85E-2B9407D79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024304"/>
        <c:axId val="1364333824"/>
      </c:lineChart>
      <c:catAx>
        <c:axId val="13630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33824"/>
        <c:crosses val="autoZero"/>
        <c:auto val="1"/>
        <c:lblAlgn val="ctr"/>
        <c:lblOffset val="100"/>
        <c:noMultiLvlLbl val="0"/>
      </c:catAx>
      <c:valAx>
        <c:axId val="13643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26989</xdr:colOff>
      <xdr:row>3</xdr:row>
      <xdr:rowOff>180975</xdr:rowOff>
    </xdr:from>
    <xdr:to>
      <xdr:col>35</xdr:col>
      <xdr:colOff>55562</xdr:colOff>
      <xdr:row>24</xdr:row>
      <xdr:rowOff>136526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74583-18C4-D1C7-D867-E6AA2A436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533401</xdr:colOff>
      <xdr:row>27</xdr:row>
      <xdr:rowOff>6350</xdr:rowOff>
    </xdr:from>
    <xdr:to>
      <xdr:col>33</xdr:col>
      <xdr:colOff>533401</xdr:colOff>
      <xdr:row>43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20F91A-FC4F-BB26-A901-FCE976E92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206375</xdr:colOff>
      <xdr:row>58</xdr:row>
      <xdr:rowOff>114300</xdr:rowOff>
    </xdr:from>
    <xdr:to>
      <xdr:col>39</xdr:col>
      <xdr:colOff>266699</xdr:colOff>
      <xdr:row>82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962F90-3D04-196F-108E-4692C01B0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354542</xdr:colOff>
      <xdr:row>83</xdr:row>
      <xdr:rowOff>67732</xdr:rowOff>
    </xdr:from>
    <xdr:to>
      <xdr:col>39</xdr:col>
      <xdr:colOff>15876</xdr:colOff>
      <xdr:row>98</xdr:row>
      <xdr:rowOff>112182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5080A-6CEA-1D7D-E813-6F81C7961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336096</xdr:colOff>
      <xdr:row>28</xdr:row>
      <xdr:rowOff>174171</xdr:rowOff>
    </xdr:from>
    <xdr:to>
      <xdr:col>10</xdr:col>
      <xdr:colOff>472622</xdr:colOff>
      <xdr:row>46</xdr:row>
      <xdr:rowOff>78922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FB1A94-7846-AA44-FCA3-97FD51ECE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495752</xdr:colOff>
      <xdr:row>28</xdr:row>
      <xdr:rowOff>87993</xdr:rowOff>
    </xdr:from>
    <xdr:to>
      <xdr:col>25</xdr:col>
      <xdr:colOff>100693</xdr:colOff>
      <xdr:row>51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97439-9226-00F8-091F-7C4AD0255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249464</xdr:colOff>
      <xdr:row>14</xdr:row>
      <xdr:rowOff>147451</xdr:rowOff>
    </xdr:from>
    <xdr:to>
      <xdr:col>32</xdr:col>
      <xdr:colOff>571087</xdr:colOff>
      <xdr:row>29</xdr:row>
      <xdr:rowOff>169223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5930F-0311-D7B5-1472-E21D6A9CF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267607</xdr:colOff>
      <xdr:row>13</xdr:row>
      <xdr:rowOff>134258</xdr:rowOff>
    </xdr:from>
    <xdr:to>
      <xdr:col>40</xdr:col>
      <xdr:colOff>585107</xdr:colOff>
      <xdr:row>28</xdr:row>
      <xdr:rowOff>156029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9F2034-285F-86C1-F13F-7BEFD1EFE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75768</xdr:colOff>
      <xdr:row>32</xdr:row>
      <xdr:rowOff>49213</xdr:rowOff>
    </xdr:from>
    <xdr:to>
      <xdr:col>39</xdr:col>
      <xdr:colOff>364404</xdr:colOff>
      <xdr:row>47</xdr:row>
      <xdr:rowOff>21504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F95818-9330-68A8-4DF8-742DBDCE9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483393</xdr:colOff>
      <xdr:row>31</xdr:row>
      <xdr:rowOff>130175</xdr:rowOff>
    </xdr:from>
    <xdr:to>
      <xdr:col>47</xdr:col>
      <xdr:colOff>165893</xdr:colOff>
      <xdr:row>46</xdr:row>
      <xdr:rowOff>134938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FF1AC9-BE52-0385-2EC5-86CBFA7D3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104775</xdr:colOff>
      <xdr:row>12</xdr:row>
      <xdr:rowOff>155575</xdr:rowOff>
    </xdr:from>
    <xdr:to>
      <xdr:col>49</xdr:col>
      <xdr:colOff>193675</xdr:colOff>
      <xdr:row>27</xdr:row>
      <xdr:rowOff>136525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77B87F-70A2-F1F5-CFD7-660471E9C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695324</xdr:colOff>
      <xdr:row>31</xdr:row>
      <xdr:rowOff>88900</xdr:rowOff>
    </xdr:from>
    <xdr:to>
      <xdr:col>10</xdr:col>
      <xdr:colOff>539749</xdr:colOff>
      <xdr:row>60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89DEE-8D6E-100B-56D1-58106EE34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537633</xdr:colOff>
      <xdr:row>29</xdr:row>
      <xdr:rowOff>160867</xdr:rowOff>
    </xdr:from>
    <xdr:to>
      <xdr:col>24</xdr:col>
      <xdr:colOff>80432</xdr:colOff>
      <xdr:row>54</xdr:row>
      <xdr:rowOff>97366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A1B7A5-8C00-6A68-75C5-4471A1942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1255712</xdr:colOff>
      <xdr:row>30</xdr:row>
      <xdr:rowOff>12700</xdr:rowOff>
    </xdr:from>
    <xdr:to>
      <xdr:col>10</xdr:col>
      <xdr:colOff>457199</xdr:colOff>
      <xdr:row>52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7B7125-5C9D-BFBC-0474-84BE0B8A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138112</xdr:colOff>
      <xdr:row>29</xdr:row>
      <xdr:rowOff>103187</xdr:rowOff>
    </xdr:from>
    <xdr:to>
      <xdr:col>24</xdr:col>
      <xdr:colOff>122238</xdr:colOff>
      <xdr:row>53</xdr:row>
      <xdr:rowOff>39687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7A3686-C356-EA3D-9851-45CEF4FA5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A4D-F4A1-46A9-A738-7D3B35E66A34}">
  <dimension ref="B1:AB129"/>
  <sheetViews>
    <sheetView topLeftCell="N21" zoomScale="70" zoomScaleNormal="70" workbookViewId="0">
      <selection activeCell="U20" sqref="U20"/>
    </sheetView>
  </sheetViews>
  <sheetFormatPr defaultRowHeight="14.5" x14ac:dyDescent="0.35"/>
  <cols>
    <col min="10" max="10" width="13.08984375" customWidth="1"/>
    <col min="23" max="23" width="15.54296875" customWidth="1"/>
    <col min="24" max="24" width="12.26953125" bestFit="1" customWidth="1"/>
    <col min="26" max="26" width="16.1796875" customWidth="1"/>
  </cols>
  <sheetData>
    <row r="1" spans="2:27" ht="15" thickBot="1" x14ac:dyDescent="0.4">
      <c r="Z1" t="s">
        <v>90</v>
      </c>
      <c r="AA1">
        <v>32</v>
      </c>
    </row>
    <row r="2" spans="2:27" ht="15.5" thickTop="1" thickBot="1" x14ac:dyDescent="0.4">
      <c r="B2" s="1" t="s">
        <v>245</v>
      </c>
      <c r="D2" s="1" t="s">
        <v>244</v>
      </c>
      <c r="F2" s="1" t="s">
        <v>243</v>
      </c>
      <c r="H2" s="1" t="s">
        <v>242</v>
      </c>
      <c r="J2" s="1" t="s">
        <v>233</v>
      </c>
      <c r="L2" s="1" t="s">
        <v>234</v>
      </c>
      <c r="N2" s="1" t="s">
        <v>235</v>
      </c>
      <c r="P2" s="1" t="s">
        <v>236</v>
      </c>
      <c r="R2" s="1" t="s">
        <v>237</v>
      </c>
      <c r="T2" s="1" t="s">
        <v>238</v>
      </c>
      <c r="V2" t="s">
        <v>21</v>
      </c>
      <c r="W2" t="s">
        <v>239</v>
      </c>
      <c r="Z2" t="s">
        <v>91</v>
      </c>
      <c r="AA2">
        <v>33</v>
      </c>
    </row>
    <row r="3" spans="2:27" ht="15" thickTop="1" x14ac:dyDescent="0.35">
      <c r="J3" s="2">
        <v>1</v>
      </c>
      <c r="L3" s="2">
        <v>1</v>
      </c>
      <c r="N3" s="2">
        <v>1</v>
      </c>
      <c r="P3" s="2">
        <v>1</v>
      </c>
      <c r="R3" s="2">
        <v>33</v>
      </c>
      <c r="T3" s="2">
        <v>32</v>
      </c>
      <c r="V3">
        <v>5</v>
      </c>
      <c r="W3">
        <v>65.63</v>
      </c>
      <c r="Z3" t="s">
        <v>108</v>
      </c>
      <c r="AA3">
        <v>20</v>
      </c>
    </row>
    <row r="4" spans="2:27" x14ac:dyDescent="0.35">
      <c r="J4" s="2">
        <v>1</v>
      </c>
      <c r="L4" s="2">
        <v>1</v>
      </c>
      <c r="N4" s="2">
        <v>1</v>
      </c>
      <c r="P4" s="2">
        <v>7</v>
      </c>
      <c r="R4" s="2">
        <v>20</v>
      </c>
      <c r="S4" t="s">
        <v>240</v>
      </c>
      <c r="T4" s="6">
        <f>AVERAGE(T3)</f>
        <v>32</v>
      </c>
      <c r="V4">
        <v>6</v>
      </c>
      <c r="W4">
        <v>40.65</v>
      </c>
      <c r="Z4" t="s">
        <v>117</v>
      </c>
      <c r="AA4">
        <v>25</v>
      </c>
    </row>
    <row r="5" spans="2:27" x14ac:dyDescent="0.35">
      <c r="J5" s="2">
        <v>7</v>
      </c>
      <c r="L5" s="2">
        <v>5</v>
      </c>
      <c r="N5" s="2">
        <v>1</v>
      </c>
      <c r="P5" s="2">
        <v>1</v>
      </c>
      <c r="R5" s="2">
        <v>25</v>
      </c>
      <c r="S5" t="s">
        <v>232</v>
      </c>
      <c r="T5">
        <v>86</v>
      </c>
      <c r="V5">
        <v>7</v>
      </c>
      <c r="W5">
        <v>21.92</v>
      </c>
      <c r="Z5" t="s">
        <v>128</v>
      </c>
      <c r="AA5">
        <v>2</v>
      </c>
    </row>
    <row r="6" spans="2:27" x14ac:dyDescent="0.35">
      <c r="J6" s="2">
        <v>2</v>
      </c>
      <c r="L6" s="2">
        <v>2</v>
      </c>
      <c r="N6" s="2">
        <v>1</v>
      </c>
      <c r="P6" s="2">
        <v>3</v>
      </c>
      <c r="R6" s="2">
        <v>2</v>
      </c>
      <c r="S6" t="s">
        <v>239</v>
      </c>
      <c r="T6">
        <f>T5/T4</f>
        <v>2.6875</v>
      </c>
      <c r="V6">
        <v>8</v>
      </c>
      <c r="W6">
        <v>12.08</v>
      </c>
      <c r="Z6" t="s">
        <v>120</v>
      </c>
      <c r="AA6">
        <v>13</v>
      </c>
    </row>
    <row r="7" spans="2:27" x14ac:dyDescent="0.35">
      <c r="J7" s="2">
        <v>1</v>
      </c>
      <c r="L7" s="2">
        <v>3</v>
      </c>
      <c r="N7" s="2">
        <v>13</v>
      </c>
      <c r="P7" s="2">
        <v>3</v>
      </c>
      <c r="R7" s="2">
        <v>13</v>
      </c>
      <c r="V7">
        <v>9</v>
      </c>
      <c r="W7">
        <v>4.62</v>
      </c>
      <c r="Z7" t="s">
        <v>95</v>
      </c>
      <c r="AA7">
        <v>1</v>
      </c>
    </row>
    <row r="8" spans="2:27" x14ac:dyDescent="0.35">
      <c r="J8" s="2">
        <v>1</v>
      </c>
      <c r="L8" s="2">
        <v>1</v>
      </c>
      <c r="N8" s="2">
        <v>15</v>
      </c>
      <c r="P8" s="2">
        <v>5</v>
      </c>
      <c r="Q8" t="s">
        <v>240</v>
      </c>
      <c r="R8" s="6">
        <f>AVERAGE(R3:R7)</f>
        <v>18.600000000000001</v>
      </c>
      <c r="V8">
        <v>10</v>
      </c>
      <c r="W8">
        <v>2.68</v>
      </c>
      <c r="Z8" t="s">
        <v>98</v>
      </c>
      <c r="AA8">
        <v>7</v>
      </c>
    </row>
    <row r="9" spans="2:27" x14ac:dyDescent="0.35">
      <c r="J9" s="2">
        <v>1</v>
      </c>
      <c r="L9" s="2">
        <v>1</v>
      </c>
      <c r="N9" s="2">
        <v>6</v>
      </c>
      <c r="P9" s="2">
        <v>15</v>
      </c>
      <c r="Q9" t="s">
        <v>232</v>
      </c>
      <c r="R9" s="9">
        <v>86</v>
      </c>
      <c r="Z9" t="s">
        <v>103</v>
      </c>
      <c r="AA9">
        <v>1</v>
      </c>
    </row>
    <row r="10" spans="2:27" x14ac:dyDescent="0.35">
      <c r="J10" s="2">
        <v>1</v>
      </c>
      <c r="L10" s="2">
        <v>4</v>
      </c>
      <c r="N10" s="2">
        <v>3</v>
      </c>
      <c r="P10" s="2">
        <v>23</v>
      </c>
      <c r="Q10" t="s">
        <v>239</v>
      </c>
      <c r="R10">
        <f>R9/R8</f>
        <v>4.6236559139784941</v>
      </c>
      <c r="Z10" t="s">
        <v>104</v>
      </c>
      <c r="AA10">
        <v>3</v>
      </c>
    </row>
    <row r="11" spans="2:27" x14ac:dyDescent="0.35">
      <c r="J11" s="2">
        <v>1</v>
      </c>
      <c r="L11" s="2">
        <v>2</v>
      </c>
      <c r="N11" s="2">
        <v>1</v>
      </c>
      <c r="P11" s="2">
        <v>3</v>
      </c>
      <c r="Z11" t="s">
        <v>217</v>
      </c>
      <c r="AA11">
        <v>3</v>
      </c>
    </row>
    <row r="12" spans="2:27" x14ac:dyDescent="0.35">
      <c r="J12" s="2">
        <v>3</v>
      </c>
      <c r="L12" s="2">
        <v>1</v>
      </c>
      <c r="N12" s="2">
        <v>5</v>
      </c>
      <c r="P12" s="2">
        <v>1</v>
      </c>
      <c r="Z12" t="s">
        <v>113</v>
      </c>
      <c r="AA12">
        <v>5</v>
      </c>
    </row>
    <row r="13" spans="2:27" x14ac:dyDescent="0.35">
      <c r="J13" s="2">
        <v>1</v>
      </c>
      <c r="L13" s="2">
        <v>1</v>
      </c>
      <c r="N13" s="2">
        <v>5</v>
      </c>
      <c r="P13" s="2">
        <v>16</v>
      </c>
      <c r="Z13" t="s">
        <v>116</v>
      </c>
      <c r="AA13">
        <v>15</v>
      </c>
    </row>
    <row r="14" spans="2:27" x14ac:dyDescent="0.35">
      <c r="J14" s="2">
        <v>1</v>
      </c>
      <c r="L14" s="2">
        <v>2</v>
      </c>
      <c r="N14" s="2">
        <v>1</v>
      </c>
      <c r="P14" s="2">
        <v>2</v>
      </c>
      <c r="Z14" t="s">
        <v>38</v>
      </c>
      <c r="AA14">
        <v>23</v>
      </c>
    </row>
    <row r="15" spans="2:27" x14ac:dyDescent="0.35">
      <c r="J15" s="2">
        <v>1</v>
      </c>
      <c r="L15" s="2">
        <v>1</v>
      </c>
      <c r="N15" s="2">
        <v>3</v>
      </c>
      <c r="P15" s="2">
        <v>9</v>
      </c>
      <c r="Z15" t="s">
        <v>126</v>
      </c>
      <c r="AA15">
        <v>3</v>
      </c>
    </row>
    <row r="16" spans="2:27" x14ac:dyDescent="0.35">
      <c r="J16" s="2">
        <v>1</v>
      </c>
      <c r="L16" s="2">
        <v>1</v>
      </c>
      <c r="N16" s="2">
        <v>18</v>
      </c>
      <c r="P16" s="2">
        <v>3</v>
      </c>
      <c r="Z16" t="s">
        <v>130</v>
      </c>
      <c r="AA16">
        <v>1</v>
      </c>
    </row>
    <row r="17" spans="9:27" x14ac:dyDescent="0.35">
      <c r="J17" s="2">
        <v>1</v>
      </c>
      <c r="L17" s="2">
        <v>2</v>
      </c>
      <c r="N17" s="2">
        <v>1</v>
      </c>
      <c r="O17" t="s">
        <v>240</v>
      </c>
      <c r="P17" s="6">
        <f>AVERAGE(P3:P16)</f>
        <v>6.5714285714285712</v>
      </c>
      <c r="Z17" t="s">
        <v>132</v>
      </c>
      <c r="AA17">
        <v>16</v>
      </c>
    </row>
    <row r="18" spans="9:27" x14ac:dyDescent="0.35">
      <c r="J18" s="2">
        <v>1</v>
      </c>
      <c r="L18" s="2">
        <v>7</v>
      </c>
      <c r="N18" s="2">
        <v>1</v>
      </c>
      <c r="O18" t="s">
        <v>241</v>
      </c>
      <c r="P18" s="9">
        <v>86</v>
      </c>
      <c r="Z18" t="s">
        <v>134</v>
      </c>
      <c r="AA18">
        <v>2</v>
      </c>
    </row>
    <row r="19" spans="9:27" x14ac:dyDescent="0.35">
      <c r="J19" s="2">
        <v>1</v>
      </c>
      <c r="L19" s="2">
        <v>3</v>
      </c>
      <c r="N19" s="2">
        <v>2</v>
      </c>
      <c r="O19" t="s">
        <v>239</v>
      </c>
      <c r="P19">
        <f>P18/P17</f>
        <v>13.086956521739131</v>
      </c>
      <c r="Z19" t="s">
        <v>119</v>
      </c>
      <c r="AA19">
        <v>9</v>
      </c>
    </row>
    <row r="20" spans="9:27" x14ac:dyDescent="0.35">
      <c r="J20" s="2">
        <v>1</v>
      </c>
      <c r="L20" s="2">
        <v>2</v>
      </c>
      <c r="N20" s="2">
        <v>1</v>
      </c>
      <c r="Z20" t="s">
        <v>36</v>
      </c>
      <c r="AA20">
        <v>3</v>
      </c>
    </row>
    <row r="21" spans="9:27" x14ac:dyDescent="0.35">
      <c r="J21" s="2">
        <v>1</v>
      </c>
      <c r="L21" s="2">
        <v>1</v>
      </c>
      <c r="N21" s="2">
        <v>3</v>
      </c>
      <c r="Z21" t="s">
        <v>215</v>
      </c>
      <c r="AA21">
        <v>1</v>
      </c>
    </row>
    <row r="22" spans="9:27" x14ac:dyDescent="0.35">
      <c r="J22" s="2">
        <v>1</v>
      </c>
      <c r="L22" s="2">
        <v>3</v>
      </c>
      <c r="N22" s="2">
        <v>1</v>
      </c>
      <c r="Z22" t="s">
        <v>97</v>
      </c>
      <c r="AA22">
        <v>1</v>
      </c>
    </row>
    <row r="23" spans="9:27" x14ac:dyDescent="0.35">
      <c r="J23" s="2">
        <v>1</v>
      </c>
      <c r="L23" s="2">
        <v>1</v>
      </c>
      <c r="N23" s="2">
        <v>2</v>
      </c>
      <c r="Z23" t="s">
        <v>23</v>
      </c>
      <c r="AA23">
        <v>1</v>
      </c>
    </row>
    <row r="24" spans="9:27" x14ac:dyDescent="0.35">
      <c r="J24" s="2">
        <v>1</v>
      </c>
      <c r="L24" s="2">
        <v>1</v>
      </c>
      <c r="N24" s="2">
        <v>10</v>
      </c>
      <c r="Z24" t="s">
        <v>102</v>
      </c>
      <c r="AA24">
        <v>1</v>
      </c>
    </row>
    <row r="25" spans="9:27" x14ac:dyDescent="0.35">
      <c r="J25" s="2">
        <v>1</v>
      </c>
      <c r="L25" s="2">
        <v>1</v>
      </c>
      <c r="N25" s="2">
        <v>1</v>
      </c>
      <c r="Z25" t="s">
        <v>24</v>
      </c>
      <c r="AA25">
        <v>13</v>
      </c>
    </row>
    <row r="26" spans="9:27" x14ac:dyDescent="0.35">
      <c r="J26" s="2">
        <v>1</v>
      </c>
      <c r="L26" s="2">
        <v>3</v>
      </c>
      <c r="N26" s="2">
        <v>2</v>
      </c>
      <c r="Z26" t="s">
        <v>105</v>
      </c>
      <c r="AA26">
        <v>15</v>
      </c>
    </row>
    <row r="27" spans="9:27" x14ac:dyDescent="0.35">
      <c r="J27" s="2">
        <v>1</v>
      </c>
      <c r="L27" s="2">
        <v>5</v>
      </c>
      <c r="N27" s="2">
        <v>3</v>
      </c>
      <c r="Z27" t="s">
        <v>107</v>
      </c>
      <c r="AA27">
        <v>6</v>
      </c>
    </row>
    <row r="28" spans="9:27" x14ac:dyDescent="0.35">
      <c r="J28" s="2">
        <v>1</v>
      </c>
      <c r="L28" s="2">
        <v>4</v>
      </c>
      <c r="N28" s="2">
        <v>1</v>
      </c>
      <c r="Z28" t="s">
        <v>216</v>
      </c>
      <c r="AA28">
        <v>3</v>
      </c>
    </row>
    <row r="29" spans="9:27" x14ac:dyDescent="0.35">
      <c r="J29" s="2">
        <v>1</v>
      </c>
      <c r="L29" s="2">
        <v>1</v>
      </c>
      <c r="M29" t="s">
        <v>240</v>
      </c>
      <c r="N29" s="6">
        <f>AVERAGE(N3:N28)</f>
        <v>3.9230769230769229</v>
      </c>
      <c r="V29" t="s">
        <v>21</v>
      </c>
      <c r="W29" t="s">
        <v>210</v>
      </c>
      <c r="X29" t="s">
        <v>249</v>
      </c>
      <c r="Z29" t="s">
        <v>111</v>
      </c>
      <c r="AA29">
        <v>1</v>
      </c>
    </row>
    <row r="30" spans="9:27" x14ac:dyDescent="0.35">
      <c r="J30" s="2">
        <v>1</v>
      </c>
      <c r="L30" s="2">
        <v>1</v>
      </c>
      <c r="M30" t="s">
        <v>232</v>
      </c>
      <c r="N30" s="9">
        <v>86</v>
      </c>
      <c r="V30">
        <v>10</v>
      </c>
      <c r="W30">
        <v>32</v>
      </c>
      <c r="X30">
        <f>(W30-15)/(52-15)</f>
        <v>0.45945945945945948</v>
      </c>
      <c r="Z30" t="s">
        <v>124</v>
      </c>
      <c r="AA30">
        <v>5</v>
      </c>
    </row>
    <row r="31" spans="9:27" x14ac:dyDescent="0.35">
      <c r="J31" s="2">
        <v>1</v>
      </c>
      <c r="L31" s="2">
        <v>6</v>
      </c>
      <c r="M31" t="s">
        <v>239</v>
      </c>
      <c r="N31">
        <f>N30/N29</f>
        <v>21.921568627450981</v>
      </c>
      <c r="V31">
        <v>9</v>
      </c>
      <c r="W31">
        <v>37</v>
      </c>
      <c r="X31">
        <f t="shared" ref="X31:X39" si="0">(W31-15)/(52-15)</f>
        <v>0.59459459459459463</v>
      </c>
      <c r="Z31" t="s">
        <v>125</v>
      </c>
      <c r="AA31">
        <v>5</v>
      </c>
    </row>
    <row r="32" spans="9:27" x14ac:dyDescent="0.35">
      <c r="I32" t="s">
        <v>240</v>
      </c>
      <c r="J32" s="6">
        <f>AVERAGE(J3:J31)</f>
        <v>1.3103448275862069</v>
      </c>
      <c r="L32" s="2">
        <v>2</v>
      </c>
      <c r="V32">
        <v>8</v>
      </c>
      <c r="W32">
        <v>45</v>
      </c>
      <c r="X32">
        <f t="shared" si="0"/>
        <v>0.81081081081081086</v>
      </c>
      <c r="Z32" t="s">
        <v>219</v>
      </c>
      <c r="AA32">
        <v>1</v>
      </c>
    </row>
    <row r="33" spans="9:27" x14ac:dyDescent="0.35">
      <c r="I33" t="s">
        <v>232</v>
      </c>
      <c r="J33" s="9">
        <v>86</v>
      </c>
      <c r="L33" s="2">
        <v>1</v>
      </c>
      <c r="V33">
        <v>7</v>
      </c>
      <c r="W33">
        <v>52</v>
      </c>
      <c r="X33">
        <f t="shared" si="0"/>
        <v>1</v>
      </c>
      <c r="Z33" t="s">
        <v>127</v>
      </c>
      <c r="AA33">
        <v>3</v>
      </c>
    </row>
    <row r="34" spans="9:27" x14ac:dyDescent="0.35">
      <c r="I34" t="s">
        <v>239</v>
      </c>
      <c r="J34">
        <f>J33/J32</f>
        <v>65.631578947368425</v>
      </c>
      <c r="L34" s="2">
        <v>1</v>
      </c>
      <c r="V34">
        <v>6</v>
      </c>
      <c r="W34">
        <v>45</v>
      </c>
      <c r="X34">
        <f t="shared" si="0"/>
        <v>0.81081081081081086</v>
      </c>
      <c r="Z34" t="s">
        <v>129</v>
      </c>
      <c r="AA34">
        <v>18</v>
      </c>
    </row>
    <row r="35" spans="9:27" x14ac:dyDescent="0.35">
      <c r="L35" s="2">
        <v>2</v>
      </c>
      <c r="V35">
        <v>5</v>
      </c>
      <c r="W35">
        <v>26</v>
      </c>
      <c r="X35">
        <f t="shared" si="0"/>
        <v>0.29729729729729731</v>
      </c>
      <c r="Z35" t="s">
        <v>22</v>
      </c>
      <c r="AA35">
        <v>1</v>
      </c>
    </row>
    <row r="36" spans="9:27" x14ac:dyDescent="0.35">
      <c r="L36" s="2">
        <v>2</v>
      </c>
      <c r="V36">
        <v>4</v>
      </c>
      <c r="W36">
        <v>33</v>
      </c>
      <c r="X36">
        <f t="shared" si="0"/>
        <v>0.48648648648648651</v>
      </c>
      <c r="Z36" t="s">
        <v>87</v>
      </c>
      <c r="AA36">
        <v>1</v>
      </c>
    </row>
    <row r="37" spans="9:27" x14ac:dyDescent="0.35">
      <c r="L37" s="2">
        <v>2</v>
      </c>
      <c r="V37">
        <v>3</v>
      </c>
      <c r="W37">
        <v>15</v>
      </c>
      <c r="X37">
        <f t="shared" si="0"/>
        <v>0</v>
      </c>
      <c r="Z37" t="s">
        <v>133</v>
      </c>
      <c r="AA37">
        <v>2</v>
      </c>
    </row>
    <row r="38" spans="9:27" x14ac:dyDescent="0.35">
      <c r="L38" s="2">
        <v>1</v>
      </c>
      <c r="V38">
        <v>2</v>
      </c>
      <c r="W38">
        <v>17</v>
      </c>
      <c r="X38">
        <f t="shared" si="0"/>
        <v>5.4054054054054057E-2</v>
      </c>
      <c r="Z38" t="s">
        <v>37</v>
      </c>
      <c r="AA38">
        <v>1</v>
      </c>
    </row>
    <row r="39" spans="9:27" x14ac:dyDescent="0.35">
      <c r="L39" s="2">
        <v>3</v>
      </c>
      <c r="V39">
        <v>1</v>
      </c>
      <c r="W39">
        <v>16</v>
      </c>
      <c r="X39">
        <f t="shared" si="0"/>
        <v>2.7027027027027029E-2</v>
      </c>
      <c r="Z39" t="s">
        <v>72</v>
      </c>
      <c r="AA39">
        <v>3</v>
      </c>
    </row>
    <row r="40" spans="9:27" x14ac:dyDescent="0.35">
      <c r="L40" s="2">
        <v>1</v>
      </c>
      <c r="Z40" t="s">
        <v>218</v>
      </c>
      <c r="AA40">
        <v>1</v>
      </c>
    </row>
    <row r="41" spans="9:27" x14ac:dyDescent="0.35">
      <c r="L41" s="2">
        <v>1</v>
      </c>
      <c r="Z41" t="s">
        <v>110</v>
      </c>
      <c r="AA41">
        <v>2</v>
      </c>
    </row>
    <row r="42" spans="9:27" x14ac:dyDescent="0.35">
      <c r="L42" s="2">
        <v>4</v>
      </c>
      <c r="V42" t="s">
        <v>21</v>
      </c>
      <c r="W42" t="s">
        <v>246</v>
      </c>
      <c r="X42" t="s">
        <v>249</v>
      </c>
      <c r="Z42" t="s">
        <v>94</v>
      </c>
      <c r="AA42">
        <v>10</v>
      </c>
    </row>
    <row r="43" spans="9:27" x14ac:dyDescent="0.35">
      <c r="L43" s="2">
        <v>3</v>
      </c>
      <c r="V43">
        <v>1</v>
      </c>
      <c r="W43">
        <f>16/I66</f>
        <v>1.448000474094556E-3</v>
      </c>
      <c r="X43">
        <f>(W43-0.001448)/($W$52-0.001448)</f>
        <v>9.6424103964409815E-10</v>
      </c>
      <c r="Z43" t="s">
        <v>86</v>
      </c>
      <c r="AA43">
        <v>1</v>
      </c>
    </row>
    <row r="44" spans="9:27" x14ac:dyDescent="0.35">
      <c r="L44" s="2">
        <v>2</v>
      </c>
      <c r="V44">
        <v>2</v>
      </c>
      <c r="W44">
        <f>17/J66</f>
        <v>2.4075425279130205E-3</v>
      </c>
      <c r="X44">
        <f t="shared" ref="X44:X52" si="1">(W44-0.001448)/($W$52-0.001448)</f>
        <v>1.9515733161720552E-3</v>
      </c>
      <c r="Z44" t="s">
        <v>114</v>
      </c>
      <c r="AA44">
        <v>2</v>
      </c>
    </row>
    <row r="45" spans="9:27" x14ac:dyDescent="0.35">
      <c r="L45" s="2">
        <v>1</v>
      </c>
      <c r="V45">
        <v>3</v>
      </c>
      <c r="W45">
        <f>15/K66</f>
        <v>2.2155229630111632E-3</v>
      </c>
      <c r="X45">
        <f t="shared" si="1"/>
        <v>1.5610327740446697E-3</v>
      </c>
      <c r="Z45" t="s">
        <v>118</v>
      </c>
      <c r="AA45">
        <v>3</v>
      </c>
    </row>
    <row r="46" spans="9:27" x14ac:dyDescent="0.35">
      <c r="L46" s="2">
        <v>1</v>
      </c>
      <c r="V46">
        <v>4</v>
      </c>
      <c r="W46">
        <f>33/L66</f>
        <v>4.5510693749460495E-3</v>
      </c>
      <c r="X46">
        <f t="shared" si="1"/>
        <v>6.3112026973382402E-3</v>
      </c>
      <c r="Z46" t="s">
        <v>71</v>
      </c>
      <c r="AA46">
        <v>1</v>
      </c>
    </row>
    <row r="47" spans="9:27" x14ac:dyDescent="0.35">
      <c r="L47" s="2">
        <v>1</v>
      </c>
      <c r="V47">
        <v>5</v>
      </c>
      <c r="W47">
        <f>26/M66</f>
        <v>3.0407515273690286E-3</v>
      </c>
      <c r="X47">
        <f t="shared" si="1"/>
        <v>3.239430551208925E-3</v>
      </c>
      <c r="Z47" t="s">
        <v>29</v>
      </c>
      <c r="AA47">
        <v>1</v>
      </c>
    </row>
    <row r="48" spans="9:27" x14ac:dyDescent="0.35">
      <c r="L48" s="2">
        <v>1</v>
      </c>
      <c r="V48">
        <v>6</v>
      </c>
      <c r="W48">
        <f>45/N66</f>
        <v>4.3777322628083025E-3</v>
      </c>
      <c r="X48">
        <f t="shared" si="1"/>
        <v>5.9586596125766923E-3</v>
      </c>
      <c r="Z48" t="s">
        <v>34</v>
      </c>
      <c r="AA48">
        <v>1</v>
      </c>
    </row>
    <row r="49" spans="8:27" x14ac:dyDescent="0.35">
      <c r="L49" s="2">
        <v>4</v>
      </c>
      <c r="V49">
        <v>7</v>
      </c>
      <c r="W49">
        <f>52/O66</f>
        <v>5.6432987379034794E-3</v>
      </c>
      <c r="X49">
        <f t="shared" si="1"/>
        <v>8.5326422040617432E-3</v>
      </c>
      <c r="Z49" t="s">
        <v>46</v>
      </c>
      <c r="AA49">
        <v>5</v>
      </c>
    </row>
    <row r="50" spans="8:27" x14ac:dyDescent="0.35">
      <c r="L50" s="2">
        <v>1</v>
      </c>
      <c r="V50">
        <v>8</v>
      </c>
      <c r="W50">
        <f>45/P66</f>
        <v>4.7717015717236473E-3</v>
      </c>
      <c r="X50">
        <f t="shared" si="1"/>
        <v>6.7599372717776678E-3</v>
      </c>
      <c r="Z50" t="s">
        <v>48</v>
      </c>
      <c r="AA50">
        <v>2</v>
      </c>
    </row>
    <row r="51" spans="8:27" x14ac:dyDescent="0.35">
      <c r="L51" s="2">
        <v>6</v>
      </c>
      <c r="V51">
        <v>9</v>
      </c>
      <c r="W51">
        <f>37/Q66</f>
        <v>5.432079363683116E-3</v>
      </c>
      <c r="X51">
        <f t="shared" si="1"/>
        <v>8.1030519747640733E-3</v>
      </c>
      <c r="Z51" t="s">
        <v>92</v>
      </c>
      <c r="AA51">
        <v>3</v>
      </c>
    </row>
    <row r="52" spans="8:27" x14ac:dyDescent="0.35">
      <c r="L52" s="2">
        <v>1</v>
      </c>
      <c r="V52">
        <v>10</v>
      </c>
      <c r="W52">
        <f>32/R66</f>
        <v>0.49312439256060875</v>
      </c>
      <c r="X52">
        <f t="shared" si="1"/>
        <v>1</v>
      </c>
      <c r="Z52" t="s">
        <v>222</v>
      </c>
      <c r="AA52">
        <v>1</v>
      </c>
    </row>
    <row r="53" spans="8:27" x14ac:dyDescent="0.35">
      <c r="L53" s="2">
        <v>1</v>
      </c>
      <c r="Z53" t="s">
        <v>80</v>
      </c>
      <c r="AA53">
        <v>1</v>
      </c>
    </row>
    <row r="54" spans="8:27" x14ac:dyDescent="0.35">
      <c r="L54" s="2">
        <v>1</v>
      </c>
      <c r="Z54" t="s">
        <v>100</v>
      </c>
      <c r="AA54">
        <v>4</v>
      </c>
    </row>
    <row r="55" spans="8:27" x14ac:dyDescent="0.35">
      <c r="K55" t="s">
        <v>240</v>
      </c>
      <c r="L55" s="6">
        <f>AVERAGE(L3:L54)</f>
        <v>2.1153846153846154</v>
      </c>
      <c r="Z55" t="s">
        <v>25</v>
      </c>
      <c r="AA55">
        <v>2</v>
      </c>
    </row>
    <row r="56" spans="8:27" x14ac:dyDescent="0.35">
      <c r="K56" t="s">
        <v>232</v>
      </c>
      <c r="L56" s="9">
        <v>86</v>
      </c>
      <c r="V56" t="s">
        <v>21</v>
      </c>
      <c r="W56" t="s">
        <v>250</v>
      </c>
      <c r="X56" t="s">
        <v>251</v>
      </c>
      <c r="Z56" t="s">
        <v>45</v>
      </c>
      <c r="AA56">
        <v>1</v>
      </c>
    </row>
    <row r="57" spans="8:27" x14ac:dyDescent="0.35">
      <c r="K57" t="s">
        <v>239</v>
      </c>
      <c r="L57">
        <f>L56/L55</f>
        <v>40.654545454545456</v>
      </c>
      <c r="V57">
        <v>1</v>
      </c>
      <c r="W57">
        <f>16/I62</f>
        <v>5.8731506005000538E-6</v>
      </c>
      <c r="X57">
        <f>(W57-$W$57)/(0.02425-$W$57)</f>
        <v>0</v>
      </c>
      <c r="Z57" t="s">
        <v>106</v>
      </c>
      <c r="AA57">
        <v>1</v>
      </c>
    </row>
    <row r="58" spans="8:27" x14ac:dyDescent="0.35">
      <c r="V58">
        <v>2</v>
      </c>
      <c r="W58">
        <f>17/J62</f>
        <v>1.2894178234549533E-5</v>
      </c>
      <c r="X58">
        <f t="shared" ref="X58:X66" si="2">(W58-$W$57)/(0.02425-$W$57)</f>
        <v>2.8959705076874657E-4</v>
      </c>
      <c r="Z58" t="s">
        <v>73</v>
      </c>
      <c r="AA58">
        <v>2</v>
      </c>
    </row>
    <row r="59" spans="8:27" x14ac:dyDescent="0.35">
      <c r="V59">
        <v>3</v>
      </c>
      <c r="W59">
        <f>15/K62</f>
        <v>2.3429709222792618E-5</v>
      </c>
      <c r="X59">
        <f t="shared" si="2"/>
        <v>7.2415718377283691E-4</v>
      </c>
      <c r="Z59" t="s">
        <v>50</v>
      </c>
      <c r="AA59">
        <v>1</v>
      </c>
    </row>
    <row r="60" spans="8:27" x14ac:dyDescent="0.35">
      <c r="V60">
        <v>4</v>
      </c>
      <c r="W60">
        <f>33/L62</f>
        <v>1.0609424286215601E-4</v>
      </c>
      <c r="X60">
        <f t="shared" si="2"/>
        <v>4.1338297264410795E-3</v>
      </c>
      <c r="Z60" t="s">
        <v>221</v>
      </c>
      <c r="AA60">
        <v>1</v>
      </c>
    </row>
    <row r="61" spans="8:27" x14ac:dyDescent="0.35">
      <c r="I61">
        <v>1</v>
      </c>
      <c r="J61">
        <v>2</v>
      </c>
      <c r="K61">
        <v>3</v>
      </c>
      <c r="L61">
        <v>4</v>
      </c>
      <c r="M61">
        <v>5</v>
      </c>
      <c r="N61">
        <v>6</v>
      </c>
      <c r="O61">
        <v>7</v>
      </c>
      <c r="P61">
        <v>8</v>
      </c>
      <c r="Q61">
        <v>9</v>
      </c>
      <c r="R61">
        <v>10</v>
      </c>
      <c r="V61">
        <v>5</v>
      </c>
      <c r="W61">
        <f>26/M62</f>
        <v>1.6242551754760802E-4</v>
      </c>
      <c r="X61">
        <f t="shared" si="2"/>
        <v>6.457331621781446E-3</v>
      </c>
      <c r="Z61" t="s">
        <v>26</v>
      </c>
      <c r="AA61">
        <v>2</v>
      </c>
    </row>
    <row r="62" spans="8:27" x14ac:dyDescent="0.35">
      <c r="H62" t="s">
        <v>137</v>
      </c>
      <c r="I62">
        <v>2724261.8295259997</v>
      </c>
      <c r="J62">
        <v>1318424.4618590001</v>
      </c>
      <c r="K62">
        <v>640212.81089600013</v>
      </c>
      <c r="L62">
        <v>311044.21040899999</v>
      </c>
      <c r="M62">
        <v>160073.37019799999</v>
      </c>
      <c r="N62">
        <v>86479.570135000002</v>
      </c>
      <c r="O62">
        <v>37116.580045000002</v>
      </c>
      <c r="P62">
        <v>17338.250014999998</v>
      </c>
      <c r="Q62">
        <v>6025.9199940000008</v>
      </c>
      <c r="R62">
        <v>1319.2100009999999</v>
      </c>
      <c r="V62">
        <v>6</v>
      </c>
      <c r="W62">
        <f>45/N62</f>
        <v>5.2035411288183083E-4</v>
      </c>
      <c r="X62">
        <f t="shared" si="2"/>
        <v>2.1220849300005784E-2</v>
      </c>
      <c r="Z62" t="s">
        <v>112</v>
      </c>
      <c r="AA62">
        <v>7</v>
      </c>
    </row>
    <row r="63" spans="8:27" x14ac:dyDescent="0.35">
      <c r="V63">
        <v>7</v>
      </c>
      <c r="W63">
        <f>52/O62</f>
        <v>1.4009911456539207E-3</v>
      </c>
      <c r="X63">
        <f t="shared" si="2"/>
        <v>5.7544575794363E-2</v>
      </c>
      <c r="Z63" t="s">
        <v>115</v>
      </c>
      <c r="AA63">
        <v>3</v>
      </c>
    </row>
    <row r="64" spans="8:27" x14ac:dyDescent="0.35">
      <c r="I64">
        <v>1</v>
      </c>
      <c r="J64">
        <v>2</v>
      </c>
      <c r="K64">
        <v>3</v>
      </c>
      <c r="L64">
        <v>4</v>
      </c>
      <c r="M64">
        <v>5</v>
      </c>
      <c r="N64">
        <v>6</v>
      </c>
      <c r="O64">
        <v>7</v>
      </c>
      <c r="P64">
        <v>8</v>
      </c>
      <c r="Q64">
        <v>9</v>
      </c>
      <c r="R64">
        <v>10</v>
      </c>
      <c r="V64">
        <v>8</v>
      </c>
      <c r="W64">
        <f>45/P62</f>
        <v>2.5954176437107978E-3</v>
      </c>
      <c r="X64">
        <f t="shared" si="2"/>
        <v>0.10681120871855354</v>
      </c>
      <c r="Z64" t="s">
        <v>30</v>
      </c>
      <c r="AA64">
        <v>2</v>
      </c>
    </row>
    <row r="65" spans="8:27" x14ac:dyDescent="0.35">
      <c r="H65" t="s">
        <v>247</v>
      </c>
      <c r="I65">
        <v>1104972.0139079997</v>
      </c>
      <c r="J65">
        <v>706114.21409600019</v>
      </c>
      <c r="K65">
        <v>677041.0530800001</v>
      </c>
      <c r="L65">
        <v>725104.30585100013</v>
      </c>
      <c r="M65">
        <v>855051.77802199998</v>
      </c>
      <c r="N65">
        <v>1027929.468924</v>
      </c>
      <c r="O65">
        <v>921446.87735099986</v>
      </c>
      <c r="P65">
        <v>943059.81469299993</v>
      </c>
      <c r="Q65">
        <v>681138.79645000002</v>
      </c>
      <c r="R65">
        <v>6489.2348629999997</v>
      </c>
      <c r="V65">
        <v>9</v>
      </c>
      <c r="W65">
        <f>37/Q62</f>
        <v>6.1401412625525804E-3</v>
      </c>
      <c r="X65">
        <f t="shared" si="2"/>
        <v>0.25302078932589067</v>
      </c>
      <c r="Z65" t="s">
        <v>27</v>
      </c>
      <c r="AA65">
        <v>1</v>
      </c>
    </row>
    <row r="66" spans="8:27" x14ac:dyDescent="0.35">
      <c r="H66" t="s">
        <v>248</v>
      </c>
      <c r="I66">
        <f>I65*0.01</f>
        <v>11049.720139079998</v>
      </c>
      <c r="J66">
        <f t="shared" ref="J66:R66" si="3">J65*0.01</f>
        <v>7061.1421409600016</v>
      </c>
      <c r="K66">
        <f t="shared" si="3"/>
        <v>6770.4105308000007</v>
      </c>
      <c r="L66">
        <f t="shared" si="3"/>
        <v>7251.0430585100012</v>
      </c>
      <c r="M66">
        <f t="shared" si="3"/>
        <v>8550.5177802199996</v>
      </c>
      <c r="N66">
        <f t="shared" si="3"/>
        <v>10279.294689240001</v>
      </c>
      <c r="O66">
        <f t="shared" si="3"/>
        <v>9214.4687735099997</v>
      </c>
      <c r="P66">
        <f t="shared" si="3"/>
        <v>9430.5981469300004</v>
      </c>
      <c r="Q66">
        <f t="shared" si="3"/>
        <v>6811.3879645000006</v>
      </c>
      <c r="R66">
        <f t="shared" si="3"/>
        <v>64.892348630000001</v>
      </c>
      <c r="V66">
        <v>10</v>
      </c>
      <c r="W66">
        <f>32/R62</f>
        <v>2.4256941636087551E-2</v>
      </c>
      <c r="X66">
        <f t="shared" si="2"/>
        <v>1.0002863223794642</v>
      </c>
      <c r="Z66" t="s">
        <v>31</v>
      </c>
      <c r="AA66">
        <v>3</v>
      </c>
    </row>
    <row r="67" spans="8:27" x14ac:dyDescent="0.35">
      <c r="Z67" t="s">
        <v>76</v>
      </c>
      <c r="AA67">
        <v>1</v>
      </c>
    </row>
    <row r="68" spans="8:27" x14ac:dyDescent="0.35">
      <c r="Z68" t="s">
        <v>77</v>
      </c>
      <c r="AA68">
        <v>1</v>
      </c>
    </row>
    <row r="69" spans="8:27" x14ac:dyDescent="0.35">
      <c r="U69" t="s">
        <v>21</v>
      </c>
      <c r="V69" t="s">
        <v>253</v>
      </c>
      <c r="W69" t="s">
        <v>252</v>
      </c>
      <c r="X69" t="s">
        <v>254</v>
      </c>
      <c r="Z69" t="s">
        <v>41</v>
      </c>
      <c r="AA69">
        <v>1</v>
      </c>
    </row>
    <row r="70" spans="8:27" x14ac:dyDescent="0.35">
      <c r="U70">
        <v>1</v>
      </c>
      <c r="V70">
        <v>0</v>
      </c>
      <c r="W70">
        <v>2.7027027027027029E-2</v>
      </c>
      <c r="Z70" t="s">
        <v>122</v>
      </c>
      <c r="AA70">
        <v>3</v>
      </c>
    </row>
    <row r="71" spans="8:27" x14ac:dyDescent="0.35">
      <c r="U71">
        <v>2</v>
      </c>
      <c r="V71">
        <v>2.8959705076874657E-4</v>
      </c>
      <c r="W71">
        <v>5.4054054054054057E-2</v>
      </c>
      <c r="Z71" t="s">
        <v>123</v>
      </c>
      <c r="AA71">
        <v>5</v>
      </c>
    </row>
    <row r="72" spans="8:27" x14ac:dyDescent="0.35">
      <c r="U72">
        <v>3</v>
      </c>
      <c r="V72">
        <v>7.2415718377283691E-4</v>
      </c>
      <c r="W72">
        <v>0</v>
      </c>
      <c r="Z72" t="s">
        <v>49</v>
      </c>
      <c r="AA72">
        <v>4</v>
      </c>
    </row>
    <row r="73" spans="8:27" x14ac:dyDescent="0.35">
      <c r="U73">
        <v>4</v>
      </c>
      <c r="V73">
        <v>4.1338297264410795E-3</v>
      </c>
      <c r="W73">
        <v>0.48648648648648651</v>
      </c>
      <c r="Z73" t="s">
        <v>40</v>
      </c>
      <c r="AA73">
        <v>1</v>
      </c>
    </row>
    <row r="74" spans="8:27" x14ac:dyDescent="0.35">
      <c r="U74">
        <v>5</v>
      </c>
      <c r="V74">
        <v>6.457331621781446E-3</v>
      </c>
      <c r="W74">
        <v>0.29729729729729731</v>
      </c>
      <c r="X74">
        <v>1</v>
      </c>
      <c r="Z74" t="s">
        <v>55</v>
      </c>
      <c r="AA74">
        <v>1</v>
      </c>
    </row>
    <row r="75" spans="8:27" x14ac:dyDescent="0.35">
      <c r="U75">
        <v>6</v>
      </c>
      <c r="V75">
        <v>2.1220849300005784E-2</v>
      </c>
      <c r="W75">
        <v>0.81081081081081086</v>
      </c>
      <c r="X75">
        <v>0.61938138046625024</v>
      </c>
      <c r="Z75" t="s">
        <v>35</v>
      </c>
      <c r="AA75">
        <v>6</v>
      </c>
    </row>
    <row r="76" spans="8:27" x14ac:dyDescent="0.35">
      <c r="U76">
        <v>7</v>
      </c>
      <c r="V76">
        <v>5.7544575794363E-2</v>
      </c>
      <c r="W76">
        <v>1</v>
      </c>
      <c r="X76">
        <v>0.33399360048758192</v>
      </c>
      <c r="Z76" t="s">
        <v>28</v>
      </c>
      <c r="AA76">
        <v>2</v>
      </c>
    </row>
    <row r="77" spans="8:27" x14ac:dyDescent="0.35">
      <c r="U77">
        <v>8</v>
      </c>
      <c r="V77">
        <v>0.10681120871855354</v>
      </c>
      <c r="W77">
        <v>0.81081081081081086</v>
      </c>
      <c r="X77">
        <v>0.18406216669206157</v>
      </c>
      <c r="Z77" t="s">
        <v>75</v>
      </c>
      <c r="AA77">
        <v>1</v>
      </c>
    </row>
    <row r="78" spans="8:27" x14ac:dyDescent="0.35">
      <c r="U78">
        <v>9</v>
      </c>
      <c r="V78">
        <v>0.25302078932589067</v>
      </c>
      <c r="W78">
        <v>0.59459459459459463</v>
      </c>
      <c r="X78">
        <v>7.0394636599116267E-2</v>
      </c>
      <c r="Z78" t="s">
        <v>44</v>
      </c>
      <c r="AA78">
        <v>1</v>
      </c>
    </row>
    <row r="79" spans="8:27" x14ac:dyDescent="0.35">
      <c r="U79">
        <v>10</v>
      </c>
      <c r="V79">
        <v>1.0002863223794642</v>
      </c>
      <c r="W79">
        <v>0.45945945945945948</v>
      </c>
      <c r="X79">
        <v>4.083498400121896E-2</v>
      </c>
      <c r="Z79" t="s">
        <v>32</v>
      </c>
      <c r="AA79">
        <v>2</v>
      </c>
    </row>
    <row r="80" spans="8:27" x14ac:dyDescent="0.35">
      <c r="Z80" t="s">
        <v>101</v>
      </c>
      <c r="AA80">
        <v>2</v>
      </c>
    </row>
    <row r="81" spans="21:27" x14ac:dyDescent="0.35">
      <c r="Z81" t="s">
        <v>42</v>
      </c>
      <c r="AA81">
        <v>2</v>
      </c>
    </row>
    <row r="82" spans="21:27" x14ac:dyDescent="0.35">
      <c r="Z82" t="s">
        <v>220</v>
      </c>
      <c r="AA82">
        <v>1</v>
      </c>
    </row>
    <row r="83" spans="21:27" x14ac:dyDescent="0.35">
      <c r="Z83" t="s">
        <v>228</v>
      </c>
      <c r="AA83">
        <v>3</v>
      </c>
    </row>
    <row r="84" spans="21:27" x14ac:dyDescent="0.35">
      <c r="U84" t="s">
        <v>21</v>
      </c>
      <c r="V84" t="s">
        <v>239</v>
      </c>
      <c r="W84" t="s">
        <v>249</v>
      </c>
      <c r="Z84" t="s">
        <v>85</v>
      </c>
      <c r="AA84">
        <v>1</v>
      </c>
    </row>
    <row r="85" spans="21:27" x14ac:dyDescent="0.35">
      <c r="U85">
        <v>5</v>
      </c>
      <c r="V85">
        <v>65.63</v>
      </c>
      <c r="W85">
        <f>V85/V85</f>
        <v>1</v>
      </c>
      <c r="Z85" t="s">
        <v>54</v>
      </c>
      <c r="AA85">
        <v>1</v>
      </c>
    </row>
    <row r="86" spans="21:27" x14ac:dyDescent="0.35">
      <c r="U86">
        <v>6</v>
      </c>
      <c r="V86">
        <v>40.65</v>
      </c>
      <c r="W86">
        <f>V86/$V$85</f>
        <v>0.61938138046625024</v>
      </c>
      <c r="Z86" t="s">
        <v>99</v>
      </c>
      <c r="AA86">
        <v>4</v>
      </c>
    </row>
    <row r="87" spans="21:27" x14ac:dyDescent="0.35">
      <c r="U87">
        <v>7</v>
      </c>
      <c r="V87">
        <v>21.92</v>
      </c>
      <c r="W87">
        <f t="shared" ref="W87:W90" si="4">V87/$V$85</f>
        <v>0.33399360048758192</v>
      </c>
      <c r="Z87" t="s">
        <v>109</v>
      </c>
      <c r="AA87">
        <v>3</v>
      </c>
    </row>
    <row r="88" spans="21:27" x14ac:dyDescent="0.35">
      <c r="U88">
        <v>8</v>
      </c>
      <c r="V88">
        <v>12.08</v>
      </c>
      <c r="W88">
        <f t="shared" si="4"/>
        <v>0.18406216669206157</v>
      </c>
      <c r="Z88" t="s">
        <v>53</v>
      </c>
      <c r="AA88">
        <v>2</v>
      </c>
    </row>
    <row r="89" spans="21:27" x14ac:dyDescent="0.35">
      <c r="U89">
        <v>9</v>
      </c>
      <c r="V89">
        <v>4.62</v>
      </c>
      <c r="W89">
        <f t="shared" si="4"/>
        <v>7.0394636599116267E-2</v>
      </c>
      <c r="Z89" t="s">
        <v>51</v>
      </c>
      <c r="AA89">
        <v>1</v>
      </c>
    </row>
    <row r="90" spans="21:27" x14ac:dyDescent="0.35">
      <c r="U90">
        <v>10</v>
      </c>
      <c r="V90">
        <v>2.68</v>
      </c>
      <c r="W90">
        <f t="shared" si="4"/>
        <v>4.083498400121896E-2</v>
      </c>
      <c r="Z90" t="s">
        <v>33</v>
      </c>
      <c r="AA90">
        <v>1</v>
      </c>
    </row>
    <row r="91" spans="21:27" x14ac:dyDescent="0.35">
      <c r="Z91" t="s">
        <v>52</v>
      </c>
      <c r="AA91">
        <v>1</v>
      </c>
    </row>
    <row r="92" spans="21:27" x14ac:dyDescent="0.35">
      <c r="Z92" t="s">
        <v>93</v>
      </c>
      <c r="AA92">
        <v>1</v>
      </c>
    </row>
    <row r="93" spans="21:27" x14ac:dyDescent="0.35">
      <c r="Z93" t="s">
        <v>96</v>
      </c>
      <c r="AA93">
        <v>4</v>
      </c>
    </row>
    <row r="94" spans="21:27" x14ac:dyDescent="0.35">
      <c r="Z94" t="s">
        <v>74</v>
      </c>
      <c r="AA94">
        <v>1</v>
      </c>
    </row>
    <row r="95" spans="21:27" x14ac:dyDescent="0.35">
      <c r="Z95" t="s">
        <v>227</v>
      </c>
      <c r="AA95">
        <v>6</v>
      </c>
    </row>
    <row r="96" spans="21:27" x14ac:dyDescent="0.35">
      <c r="Z96" t="s">
        <v>43</v>
      </c>
      <c r="AA96">
        <v>1</v>
      </c>
    </row>
    <row r="97" spans="26:27" x14ac:dyDescent="0.35">
      <c r="Z97" t="s">
        <v>131</v>
      </c>
      <c r="AA97">
        <v>1</v>
      </c>
    </row>
    <row r="98" spans="26:27" x14ac:dyDescent="0.35">
      <c r="Z98" t="s">
        <v>39</v>
      </c>
      <c r="AA98">
        <v>1</v>
      </c>
    </row>
    <row r="99" spans="26:27" x14ac:dyDescent="0.35">
      <c r="Z99" t="s">
        <v>47</v>
      </c>
      <c r="AA99">
        <v>1</v>
      </c>
    </row>
    <row r="100" spans="26:27" x14ac:dyDescent="0.35">
      <c r="Z100" t="s">
        <v>68</v>
      </c>
      <c r="AA100">
        <v>1</v>
      </c>
    </row>
    <row r="101" spans="26:27" x14ac:dyDescent="0.35">
      <c r="Z101" t="s">
        <v>226</v>
      </c>
      <c r="AA101">
        <v>7</v>
      </c>
    </row>
    <row r="102" spans="26:27" x14ac:dyDescent="0.35">
      <c r="Z102" t="s">
        <v>88</v>
      </c>
      <c r="AA102">
        <v>2</v>
      </c>
    </row>
    <row r="103" spans="26:27" x14ac:dyDescent="0.35">
      <c r="Z103" t="s">
        <v>84</v>
      </c>
      <c r="AA103">
        <v>1</v>
      </c>
    </row>
    <row r="104" spans="26:27" x14ac:dyDescent="0.35">
      <c r="Z104" t="s">
        <v>81</v>
      </c>
      <c r="AA104">
        <v>1</v>
      </c>
    </row>
    <row r="105" spans="26:27" x14ac:dyDescent="0.35">
      <c r="Z105" t="s">
        <v>58</v>
      </c>
      <c r="AA105">
        <v>1</v>
      </c>
    </row>
    <row r="106" spans="26:27" x14ac:dyDescent="0.35">
      <c r="Z106" t="s">
        <v>89</v>
      </c>
      <c r="AA106">
        <v>1</v>
      </c>
    </row>
    <row r="107" spans="26:27" x14ac:dyDescent="0.35">
      <c r="Z107" t="s">
        <v>83</v>
      </c>
      <c r="AA107">
        <v>1</v>
      </c>
    </row>
    <row r="108" spans="26:27" x14ac:dyDescent="0.35">
      <c r="Z108" t="s">
        <v>121</v>
      </c>
      <c r="AA108">
        <v>3</v>
      </c>
    </row>
    <row r="109" spans="26:27" x14ac:dyDescent="0.35">
      <c r="Z109" t="s">
        <v>62</v>
      </c>
      <c r="AA109">
        <v>1</v>
      </c>
    </row>
    <row r="110" spans="26:27" x14ac:dyDescent="0.35">
      <c r="Z110" t="s">
        <v>70</v>
      </c>
      <c r="AA110">
        <v>1</v>
      </c>
    </row>
    <row r="111" spans="26:27" x14ac:dyDescent="0.35">
      <c r="Z111" t="s">
        <v>78</v>
      </c>
      <c r="AA111">
        <v>1</v>
      </c>
    </row>
    <row r="112" spans="26:27" x14ac:dyDescent="0.35">
      <c r="Z112" t="s">
        <v>57</v>
      </c>
      <c r="AA112">
        <v>1</v>
      </c>
    </row>
    <row r="113" spans="26:27" x14ac:dyDescent="0.35">
      <c r="Z113" t="s">
        <v>82</v>
      </c>
      <c r="AA113">
        <v>1</v>
      </c>
    </row>
    <row r="114" spans="26:27" x14ac:dyDescent="0.35">
      <c r="Z114" t="s">
        <v>225</v>
      </c>
      <c r="AA114">
        <v>1</v>
      </c>
    </row>
    <row r="115" spans="26:27" x14ac:dyDescent="0.35">
      <c r="Z115" t="s">
        <v>223</v>
      </c>
      <c r="AA115">
        <v>1</v>
      </c>
    </row>
    <row r="116" spans="26:27" x14ac:dyDescent="0.35">
      <c r="Z116" t="s">
        <v>60</v>
      </c>
      <c r="AA116">
        <v>1</v>
      </c>
    </row>
    <row r="117" spans="26:27" x14ac:dyDescent="0.35">
      <c r="Z117" t="s">
        <v>69</v>
      </c>
      <c r="AA117">
        <v>1</v>
      </c>
    </row>
    <row r="118" spans="26:27" x14ac:dyDescent="0.35">
      <c r="Z118" t="s">
        <v>65</v>
      </c>
      <c r="AA118">
        <v>1</v>
      </c>
    </row>
    <row r="119" spans="26:27" x14ac:dyDescent="0.35">
      <c r="Z119" t="s">
        <v>66</v>
      </c>
      <c r="AA119">
        <v>1</v>
      </c>
    </row>
    <row r="120" spans="26:27" x14ac:dyDescent="0.35">
      <c r="Z120" t="s">
        <v>64</v>
      </c>
      <c r="AA120">
        <v>1</v>
      </c>
    </row>
    <row r="121" spans="26:27" x14ac:dyDescent="0.35">
      <c r="Z121" t="s">
        <v>59</v>
      </c>
      <c r="AA121">
        <v>1</v>
      </c>
    </row>
    <row r="122" spans="26:27" x14ac:dyDescent="0.35">
      <c r="Z122" t="s">
        <v>61</v>
      </c>
      <c r="AA122">
        <v>1</v>
      </c>
    </row>
    <row r="123" spans="26:27" x14ac:dyDescent="0.35">
      <c r="Z123" t="s">
        <v>224</v>
      </c>
      <c r="AA123">
        <v>1</v>
      </c>
    </row>
    <row r="124" spans="26:27" x14ac:dyDescent="0.35">
      <c r="Z124" t="s">
        <v>67</v>
      </c>
      <c r="AA124">
        <v>1</v>
      </c>
    </row>
    <row r="125" spans="26:27" x14ac:dyDescent="0.35">
      <c r="Z125" t="s">
        <v>79</v>
      </c>
      <c r="AA125">
        <v>1</v>
      </c>
    </row>
    <row r="126" spans="26:27" x14ac:dyDescent="0.35">
      <c r="Z126" t="s">
        <v>56</v>
      </c>
      <c r="AA126">
        <v>1</v>
      </c>
    </row>
    <row r="127" spans="26:27" x14ac:dyDescent="0.35">
      <c r="Z127" t="s">
        <v>63</v>
      </c>
      <c r="AA127">
        <v>1</v>
      </c>
    </row>
    <row r="129" spans="28:28" x14ac:dyDescent="0.35">
      <c r="AB129" cm="1">
        <f t="array" aca="1" ref="AB129" ca="1">+AB1:PZ129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8F94-3CB6-4C5D-89D5-3EF06BEE201A}">
  <dimension ref="A1:CO228"/>
  <sheetViews>
    <sheetView zoomScale="110" zoomScaleNormal="110" workbookViewId="0">
      <pane xSplit="2" topLeftCell="C1" activePane="topRight" state="frozen"/>
      <selection pane="topRight" activeCell="E6" sqref="E6"/>
    </sheetView>
  </sheetViews>
  <sheetFormatPr defaultRowHeight="14.5" x14ac:dyDescent="0.35"/>
  <cols>
    <col min="1" max="2" width="30.81640625" customWidth="1"/>
    <col min="3" max="3" width="17.453125" customWidth="1"/>
    <col min="4" max="4" width="11.90625" customWidth="1"/>
    <col min="5" max="5" width="16.08984375" style="3" customWidth="1"/>
    <col min="6" max="6" width="17.54296875" style="3" customWidth="1"/>
    <col min="7" max="7" width="17.453125" style="6" customWidth="1"/>
    <col min="8" max="8" width="36.90625" style="3" customWidth="1"/>
    <col min="9" max="9" width="28.54296875" style="6" customWidth="1"/>
    <col min="10" max="10" width="32.81640625" customWidth="1"/>
  </cols>
  <sheetData>
    <row r="1" spans="1:10" ht="15.5" thickTop="1" thickBot="1" x14ac:dyDescent="0.4">
      <c r="A1" s="1" t="s">
        <v>212</v>
      </c>
      <c r="B1" s="1" t="s">
        <v>213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 ht="15" thickTop="1" x14ac:dyDescent="0.35">
      <c r="A2" t="s">
        <v>8</v>
      </c>
      <c r="B2" t="s">
        <v>90</v>
      </c>
      <c r="C2" t="s">
        <v>143</v>
      </c>
      <c r="D2">
        <v>10</v>
      </c>
      <c r="E2">
        <v>1319.2100009999999</v>
      </c>
      <c r="F2">
        <v>354357.42219999997</v>
      </c>
      <c r="G2">
        <f t="shared" ref="G2:G33" si="0">(F2)/(0.01)</f>
        <v>35435742.219999999</v>
      </c>
      <c r="H2">
        <v>84601230.530000001</v>
      </c>
      <c r="I2">
        <f t="shared" ref="I2:I33" si="1">(H2)/(1*10^9)*1000</f>
        <v>84.601230529999995</v>
      </c>
      <c r="J2">
        <v>32</v>
      </c>
    </row>
    <row r="3" spans="1:10" x14ac:dyDescent="0.35">
      <c r="A3" t="s">
        <v>8</v>
      </c>
      <c r="B3" t="s">
        <v>91</v>
      </c>
      <c r="C3" t="s">
        <v>143</v>
      </c>
      <c r="D3">
        <v>9</v>
      </c>
      <c r="E3">
        <v>2174.399997</v>
      </c>
      <c r="F3">
        <v>314488.64120000001</v>
      </c>
      <c r="G3">
        <f t="shared" si="0"/>
        <v>31448864.120000001</v>
      </c>
      <c r="H3">
        <v>52439132.43</v>
      </c>
      <c r="I3">
        <f t="shared" si="1"/>
        <v>52.439132430000001</v>
      </c>
      <c r="J3">
        <v>33</v>
      </c>
    </row>
    <row r="4" spans="1:10" x14ac:dyDescent="0.35">
      <c r="A4" t="s">
        <v>8</v>
      </c>
      <c r="B4" t="s">
        <v>108</v>
      </c>
      <c r="C4" t="s">
        <v>148</v>
      </c>
      <c r="D4">
        <v>9</v>
      </c>
      <c r="E4">
        <v>1708.209996</v>
      </c>
      <c r="F4">
        <v>179539.48610000001</v>
      </c>
      <c r="G4">
        <f t="shared" si="0"/>
        <v>17953948.609999999</v>
      </c>
      <c r="H4">
        <v>24513037.48</v>
      </c>
      <c r="I4">
        <f t="shared" si="1"/>
        <v>24.513037480000001</v>
      </c>
      <c r="J4">
        <v>20</v>
      </c>
    </row>
    <row r="5" spans="1:10" x14ac:dyDescent="0.35">
      <c r="A5" t="s">
        <v>8</v>
      </c>
      <c r="B5" t="s">
        <v>117</v>
      </c>
      <c r="C5" t="s">
        <v>146</v>
      </c>
      <c r="D5">
        <v>9</v>
      </c>
      <c r="E5">
        <v>345.62</v>
      </c>
      <c r="F5">
        <v>36463.458980000003</v>
      </c>
      <c r="G5">
        <f t="shared" si="0"/>
        <v>3646345.898</v>
      </c>
      <c r="H5">
        <v>4890052.7139999997</v>
      </c>
      <c r="I5">
        <f t="shared" si="1"/>
        <v>4.8900527139999994</v>
      </c>
      <c r="J5">
        <v>25</v>
      </c>
    </row>
    <row r="6" spans="1:10" x14ac:dyDescent="0.35">
      <c r="A6" t="s">
        <v>8</v>
      </c>
      <c r="B6" t="s">
        <v>128</v>
      </c>
      <c r="C6" t="s">
        <v>147</v>
      </c>
      <c r="D6">
        <v>9</v>
      </c>
      <c r="E6">
        <v>471.53000100000003</v>
      </c>
      <c r="F6">
        <v>33958.627930000002</v>
      </c>
      <c r="G6">
        <f t="shared" si="0"/>
        <v>3395862.7930000001</v>
      </c>
      <c r="H6">
        <v>3596859.4410000001</v>
      </c>
      <c r="I6">
        <f t="shared" si="1"/>
        <v>3.5968594409999999</v>
      </c>
      <c r="J6">
        <v>2</v>
      </c>
    </row>
    <row r="7" spans="1:10" x14ac:dyDescent="0.35">
      <c r="A7" t="s">
        <v>144</v>
      </c>
      <c r="B7" t="s">
        <v>120</v>
      </c>
      <c r="C7" t="s">
        <v>145</v>
      </c>
      <c r="D7">
        <v>9</v>
      </c>
      <c r="E7">
        <v>236.08000100000001</v>
      </c>
      <c r="F7">
        <v>34099.041129999998</v>
      </c>
      <c r="G7">
        <f t="shared" si="0"/>
        <v>3409904.1129999999</v>
      </c>
      <c r="H7">
        <v>5547502.7230000002</v>
      </c>
      <c r="I7">
        <f t="shared" si="1"/>
        <v>5.547502723</v>
      </c>
      <c r="J7">
        <v>13</v>
      </c>
    </row>
    <row r="8" spans="1:10" x14ac:dyDescent="0.35">
      <c r="A8" t="s">
        <v>8</v>
      </c>
      <c r="B8" t="s">
        <v>95</v>
      </c>
      <c r="C8" t="s">
        <v>156</v>
      </c>
      <c r="D8">
        <v>8</v>
      </c>
      <c r="E8">
        <v>737.90000299999997</v>
      </c>
      <c r="F8">
        <v>35632.063880000002</v>
      </c>
      <c r="G8">
        <f t="shared" si="0"/>
        <v>3563206.3880000003</v>
      </c>
      <c r="H8">
        <v>2954346.4369999999</v>
      </c>
      <c r="I8">
        <f t="shared" si="1"/>
        <v>2.9543464369999999</v>
      </c>
      <c r="J8">
        <v>1</v>
      </c>
    </row>
    <row r="9" spans="1:10" x14ac:dyDescent="0.35">
      <c r="A9" t="s">
        <v>8</v>
      </c>
      <c r="B9" t="s">
        <v>98</v>
      </c>
      <c r="C9" t="s">
        <v>149</v>
      </c>
      <c r="D9">
        <v>8</v>
      </c>
      <c r="E9">
        <v>585.23000200000001</v>
      </c>
      <c r="F9">
        <v>23215.156950000001</v>
      </c>
      <c r="G9">
        <f t="shared" si="0"/>
        <v>2321515.6949999998</v>
      </c>
      <c r="H9">
        <v>1718510.4310000001</v>
      </c>
      <c r="I9">
        <f t="shared" si="1"/>
        <v>1.7185104310000001</v>
      </c>
      <c r="J9">
        <v>7</v>
      </c>
    </row>
    <row r="10" spans="1:10" x14ac:dyDescent="0.35">
      <c r="A10" t="s">
        <v>8</v>
      </c>
      <c r="B10" t="s">
        <v>103</v>
      </c>
      <c r="C10" t="s">
        <v>159</v>
      </c>
      <c r="D10">
        <v>8</v>
      </c>
      <c r="E10">
        <v>154.58000000000001</v>
      </c>
      <c r="F10">
        <v>6168.7209869999997</v>
      </c>
      <c r="G10">
        <f t="shared" si="0"/>
        <v>616872.09869999997</v>
      </c>
      <c r="H10">
        <v>454547.55680000002</v>
      </c>
      <c r="I10">
        <f t="shared" si="1"/>
        <v>0.45454755680000003</v>
      </c>
      <c r="J10">
        <v>1</v>
      </c>
    </row>
    <row r="11" spans="1:10" x14ac:dyDescent="0.35">
      <c r="A11" t="s">
        <v>8</v>
      </c>
      <c r="B11" t="s">
        <v>104</v>
      </c>
      <c r="C11" t="s">
        <v>152</v>
      </c>
      <c r="D11">
        <v>8</v>
      </c>
      <c r="E11">
        <v>1244.110005</v>
      </c>
      <c r="F11">
        <v>76736.43002</v>
      </c>
      <c r="G11">
        <f t="shared" si="0"/>
        <v>7673643.0019999994</v>
      </c>
      <c r="H11">
        <v>7462000.5219999999</v>
      </c>
      <c r="I11">
        <f t="shared" si="1"/>
        <v>7.4620005219999994</v>
      </c>
      <c r="J11">
        <v>3</v>
      </c>
    </row>
    <row r="12" spans="1:10" x14ac:dyDescent="0.35">
      <c r="A12" t="s">
        <v>8</v>
      </c>
      <c r="B12" t="s">
        <v>217</v>
      </c>
      <c r="C12" t="s">
        <v>157</v>
      </c>
      <c r="D12">
        <v>8</v>
      </c>
      <c r="E12">
        <v>846.97999900000002</v>
      </c>
      <c r="F12">
        <v>42845.357170000003</v>
      </c>
      <c r="G12">
        <f t="shared" si="0"/>
        <v>4284535.7170000002</v>
      </c>
      <c r="H12">
        <v>3682750.2510000002</v>
      </c>
      <c r="I12">
        <f t="shared" si="1"/>
        <v>3.6827502510000003</v>
      </c>
      <c r="J12">
        <v>3</v>
      </c>
    </row>
    <row r="13" spans="1:10" x14ac:dyDescent="0.35">
      <c r="A13" t="s">
        <v>8</v>
      </c>
      <c r="B13" t="s">
        <v>113</v>
      </c>
      <c r="C13" t="s">
        <v>151</v>
      </c>
      <c r="D13">
        <v>8</v>
      </c>
      <c r="E13">
        <v>662.379999</v>
      </c>
      <c r="F13">
        <v>32864.396990000001</v>
      </c>
      <c r="G13">
        <f t="shared" si="0"/>
        <v>3286439.699</v>
      </c>
      <c r="H13">
        <v>2868376.2379999999</v>
      </c>
      <c r="I13">
        <f t="shared" si="1"/>
        <v>2.8683762380000002</v>
      </c>
      <c r="J13">
        <v>5</v>
      </c>
    </row>
    <row r="14" spans="1:10" x14ac:dyDescent="0.35">
      <c r="A14" t="s">
        <v>8</v>
      </c>
      <c r="B14" t="s">
        <v>116</v>
      </c>
      <c r="C14" t="s">
        <v>146</v>
      </c>
      <c r="D14">
        <v>8</v>
      </c>
      <c r="E14">
        <v>1044.950002</v>
      </c>
      <c r="F14">
        <v>67171.867880000005</v>
      </c>
      <c r="G14">
        <f t="shared" si="0"/>
        <v>6717186.7880000006</v>
      </c>
      <c r="H14">
        <v>6837982.8959999997</v>
      </c>
      <c r="I14">
        <f t="shared" si="1"/>
        <v>6.8379828959999989</v>
      </c>
      <c r="J14">
        <v>15</v>
      </c>
    </row>
    <row r="15" spans="1:10" x14ac:dyDescent="0.35">
      <c r="A15" t="s">
        <v>8</v>
      </c>
      <c r="B15" t="s">
        <v>38</v>
      </c>
      <c r="C15" t="s">
        <v>154</v>
      </c>
      <c r="D15">
        <v>8</v>
      </c>
      <c r="E15">
        <v>1276.1399960000001</v>
      </c>
      <c r="F15">
        <v>67583.667960000006</v>
      </c>
      <c r="G15">
        <f t="shared" si="0"/>
        <v>6758366.7960000001</v>
      </c>
      <c r="H15">
        <v>5944140.2230000002</v>
      </c>
      <c r="I15">
        <f t="shared" si="1"/>
        <v>5.9441402229999998</v>
      </c>
      <c r="J15">
        <v>23</v>
      </c>
    </row>
    <row r="16" spans="1:10" x14ac:dyDescent="0.35">
      <c r="A16" t="s">
        <v>8</v>
      </c>
      <c r="B16" t="s">
        <v>126</v>
      </c>
      <c r="C16" t="s">
        <v>155</v>
      </c>
      <c r="D16">
        <v>8</v>
      </c>
      <c r="E16">
        <v>860.20999800000004</v>
      </c>
      <c r="F16">
        <v>72184.803780000002</v>
      </c>
      <c r="G16">
        <f t="shared" si="0"/>
        <v>7218480.3780000005</v>
      </c>
      <c r="H16">
        <v>8474804.4149999991</v>
      </c>
      <c r="I16">
        <f t="shared" si="1"/>
        <v>8.4748044149999995</v>
      </c>
      <c r="J16">
        <v>3</v>
      </c>
    </row>
    <row r="17" spans="1:10" x14ac:dyDescent="0.35">
      <c r="A17" t="s">
        <v>8</v>
      </c>
      <c r="B17" t="s">
        <v>130</v>
      </c>
      <c r="C17" t="s">
        <v>150</v>
      </c>
      <c r="D17">
        <v>8</v>
      </c>
      <c r="E17">
        <v>1429.62</v>
      </c>
      <c r="F17">
        <v>84875.449949999995</v>
      </c>
      <c r="G17">
        <f t="shared" si="0"/>
        <v>8487544.9949999992</v>
      </c>
      <c r="H17">
        <v>8046262.2640000004</v>
      </c>
      <c r="I17">
        <f t="shared" si="1"/>
        <v>8.046262264000001</v>
      </c>
      <c r="J17">
        <v>1</v>
      </c>
    </row>
    <row r="18" spans="1:10" x14ac:dyDescent="0.35">
      <c r="A18" t="s">
        <v>8</v>
      </c>
      <c r="B18" t="s">
        <v>132</v>
      </c>
      <c r="C18" t="s">
        <v>153</v>
      </c>
      <c r="D18">
        <v>8</v>
      </c>
      <c r="E18">
        <v>530.89000299999998</v>
      </c>
      <c r="F18">
        <v>34718.518080000002</v>
      </c>
      <c r="G18">
        <f t="shared" si="0"/>
        <v>3471851.8080000002</v>
      </c>
      <c r="H18">
        <v>3464782.1039999998</v>
      </c>
      <c r="I18">
        <f t="shared" si="1"/>
        <v>3.4647821039999998</v>
      </c>
      <c r="J18">
        <v>16</v>
      </c>
    </row>
    <row r="19" spans="1:10" x14ac:dyDescent="0.35">
      <c r="A19" t="s">
        <v>8</v>
      </c>
      <c r="B19" t="s">
        <v>134</v>
      </c>
      <c r="C19" t="s">
        <v>158</v>
      </c>
      <c r="D19">
        <v>8</v>
      </c>
      <c r="E19">
        <v>670.96999800000003</v>
      </c>
      <c r="F19">
        <v>27682.685969999999</v>
      </c>
      <c r="G19">
        <f t="shared" si="0"/>
        <v>2768268.5969999996</v>
      </c>
      <c r="H19">
        <v>2085558.5160000001</v>
      </c>
      <c r="I19">
        <f t="shared" si="1"/>
        <v>2.0855585159999999</v>
      </c>
      <c r="J19">
        <v>2</v>
      </c>
    </row>
    <row r="20" spans="1:10" x14ac:dyDescent="0.35">
      <c r="A20" t="s">
        <v>144</v>
      </c>
      <c r="B20" t="s">
        <v>119</v>
      </c>
      <c r="C20" t="s">
        <v>145</v>
      </c>
      <c r="D20">
        <v>8</v>
      </c>
      <c r="E20">
        <v>1125.160003</v>
      </c>
      <c r="F20">
        <v>127120.10920000001</v>
      </c>
      <c r="G20">
        <f t="shared" si="0"/>
        <v>12712010.92</v>
      </c>
      <c r="H20">
        <v>18207615.579999998</v>
      </c>
      <c r="I20">
        <f t="shared" si="1"/>
        <v>18.207615579999999</v>
      </c>
      <c r="J20">
        <v>9</v>
      </c>
    </row>
    <row r="21" spans="1:10" x14ac:dyDescent="0.35">
      <c r="A21" t="s">
        <v>229</v>
      </c>
      <c r="B21" t="s">
        <v>36</v>
      </c>
      <c r="D21">
        <v>8</v>
      </c>
      <c r="E21">
        <v>1503.6200005411999</v>
      </c>
      <c r="F21">
        <v>93071.424892425493</v>
      </c>
      <c r="G21">
        <f t="shared" si="0"/>
        <v>9307142.48924255</v>
      </c>
      <c r="H21">
        <v>9024229.0957031194</v>
      </c>
      <c r="I21">
        <f t="shared" si="1"/>
        <v>9.0242290957031184</v>
      </c>
      <c r="J21">
        <v>3</v>
      </c>
    </row>
    <row r="22" spans="1:10" x14ac:dyDescent="0.35">
      <c r="A22" t="s">
        <v>8</v>
      </c>
      <c r="B22" t="s">
        <v>215</v>
      </c>
      <c r="D22">
        <v>7</v>
      </c>
      <c r="E22">
        <v>705.84000003339997</v>
      </c>
      <c r="F22">
        <v>21242.907940864599</v>
      </c>
      <c r="G22">
        <f t="shared" si="0"/>
        <v>2124290.79408646</v>
      </c>
      <c r="H22">
        <v>1353796.86306763</v>
      </c>
      <c r="I22">
        <f t="shared" si="1"/>
        <v>1.35379686306763</v>
      </c>
      <c r="J22">
        <v>1</v>
      </c>
    </row>
    <row r="23" spans="1:10" x14ac:dyDescent="0.35">
      <c r="A23" t="s">
        <v>8</v>
      </c>
      <c r="B23" t="s">
        <v>97</v>
      </c>
      <c r="C23" t="s">
        <v>162</v>
      </c>
      <c r="D23">
        <v>7</v>
      </c>
      <c r="E23">
        <v>862.83000100000004</v>
      </c>
      <c r="F23">
        <v>18807.12098</v>
      </c>
      <c r="G23">
        <f t="shared" si="0"/>
        <v>1880712.098</v>
      </c>
      <c r="H23">
        <v>964324.00159999996</v>
      </c>
      <c r="I23">
        <f t="shared" si="1"/>
        <v>0.96432400159999998</v>
      </c>
      <c r="J23">
        <v>1</v>
      </c>
    </row>
    <row r="24" spans="1:10" x14ac:dyDescent="0.35">
      <c r="A24" t="s">
        <v>8</v>
      </c>
      <c r="B24" t="s">
        <v>23</v>
      </c>
      <c r="D24">
        <v>7</v>
      </c>
      <c r="E24">
        <v>58.020000457800002</v>
      </c>
      <c r="F24">
        <v>1059.6730060576999</v>
      </c>
      <c r="G24">
        <f t="shared" si="0"/>
        <v>105967.30060577</v>
      </c>
      <c r="H24">
        <v>47925.279296875</v>
      </c>
      <c r="I24">
        <f t="shared" si="1"/>
        <v>4.7925279296874998E-2</v>
      </c>
      <c r="J24">
        <v>1</v>
      </c>
    </row>
    <row r="25" spans="1:10" x14ac:dyDescent="0.35">
      <c r="A25" t="s">
        <v>8</v>
      </c>
      <c r="B25" t="s">
        <v>102</v>
      </c>
      <c r="C25" t="s">
        <v>179</v>
      </c>
      <c r="D25">
        <v>7</v>
      </c>
      <c r="E25">
        <v>512.15</v>
      </c>
      <c r="F25">
        <v>14900.86701</v>
      </c>
      <c r="G25">
        <f t="shared" si="0"/>
        <v>1490086.7009999999</v>
      </c>
      <c r="H25">
        <v>904692.56700000004</v>
      </c>
      <c r="I25">
        <f t="shared" si="1"/>
        <v>0.904692567</v>
      </c>
      <c r="J25">
        <v>1</v>
      </c>
    </row>
    <row r="26" spans="1:10" x14ac:dyDescent="0.35">
      <c r="A26" t="s">
        <v>8</v>
      </c>
      <c r="B26" t="s">
        <v>24</v>
      </c>
      <c r="C26" t="s">
        <v>181</v>
      </c>
      <c r="D26">
        <v>7</v>
      </c>
      <c r="E26">
        <v>180.41000099999999</v>
      </c>
      <c r="F26">
        <v>3933.6019740000002</v>
      </c>
      <c r="G26">
        <f t="shared" si="0"/>
        <v>393360.1974</v>
      </c>
      <c r="H26">
        <v>198886.04329999999</v>
      </c>
      <c r="I26">
        <f t="shared" si="1"/>
        <v>0.19888604329999998</v>
      </c>
      <c r="J26">
        <v>13</v>
      </c>
    </row>
    <row r="27" spans="1:10" x14ac:dyDescent="0.35">
      <c r="A27" t="s">
        <v>8</v>
      </c>
      <c r="B27" t="s">
        <v>105</v>
      </c>
      <c r="C27" t="s">
        <v>167</v>
      </c>
      <c r="D27">
        <v>7</v>
      </c>
      <c r="E27">
        <v>1686.3800020000001</v>
      </c>
      <c r="F27">
        <v>63466.79595</v>
      </c>
      <c r="G27">
        <f t="shared" si="0"/>
        <v>6346679.5949999997</v>
      </c>
      <c r="H27">
        <v>4577036.3320000004</v>
      </c>
      <c r="I27">
        <f t="shared" si="1"/>
        <v>4.5770363319999996</v>
      </c>
      <c r="J27">
        <v>15</v>
      </c>
    </row>
    <row r="28" spans="1:10" x14ac:dyDescent="0.35">
      <c r="A28" t="s">
        <v>8</v>
      </c>
      <c r="B28" t="s">
        <v>107</v>
      </c>
      <c r="C28" t="s">
        <v>176</v>
      </c>
      <c r="D28">
        <v>7</v>
      </c>
      <c r="E28">
        <v>467.97000200000002</v>
      </c>
      <c r="F28">
        <v>12098.435960000001</v>
      </c>
      <c r="G28">
        <f t="shared" si="0"/>
        <v>1209843.5960000001</v>
      </c>
      <c r="H28">
        <v>686820.26210000005</v>
      </c>
      <c r="I28">
        <f t="shared" si="1"/>
        <v>0.68682026210000002</v>
      </c>
      <c r="J28">
        <v>6</v>
      </c>
    </row>
    <row r="29" spans="1:10" x14ac:dyDescent="0.35">
      <c r="A29" t="s">
        <v>8</v>
      </c>
      <c r="B29" t="s">
        <v>216</v>
      </c>
      <c r="C29" t="s">
        <v>157</v>
      </c>
      <c r="D29">
        <v>7</v>
      </c>
      <c r="E29">
        <v>238.279999</v>
      </c>
      <c r="F29">
        <v>5740.2749800000001</v>
      </c>
      <c r="G29">
        <f t="shared" si="0"/>
        <v>574027.49800000002</v>
      </c>
      <c r="H29">
        <v>313368.9265</v>
      </c>
      <c r="I29">
        <f t="shared" si="1"/>
        <v>0.31336892649999998</v>
      </c>
      <c r="J29">
        <v>3</v>
      </c>
    </row>
    <row r="30" spans="1:10" x14ac:dyDescent="0.35">
      <c r="A30" t="s">
        <v>8</v>
      </c>
      <c r="B30" t="s">
        <v>111</v>
      </c>
      <c r="C30" t="s">
        <v>169</v>
      </c>
      <c r="D30">
        <v>7</v>
      </c>
      <c r="E30">
        <v>795.64999499999999</v>
      </c>
      <c r="F30">
        <v>9820.1090480000003</v>
      </c>
      <c r="G30">
        <f t="shared" si="0"/>
        <v>982010.90480000002</v>
      </c>
      <c r="H30">
        <v>353663.71380000003</v>
      </c>
      <c r="I30">
        <f t="shared" si="1"/>
        <v>0.3536637138</v>
      </c>
      <c r="J30">
        <v>1</v>
      </c>
    </row>
    <row r="31" spans="1:10" x14ac:dyDescent="0.35">
      <c r="A31" t="s">
        <v>8</v>
      </c>
      <c r="B31" t="s">
        <v>124</v>
      </c>
      <c r="C31" t="s">
        <v>170</v>
      </c>
      <c r="D31">
        <v>7</v>
      </c>
      <c r="E31">
        <v>1069.510006</v>
      </c>
      <c r="F31">
        <v>38328.350079999997</v>
      </c>
      <c r="G31">
        <f t="shared" si="0"/>
        <v>3832835.0079999994</v>
      </c>
      <c r="H31">
        <v>2670019.3480000002</v>
      </c>
      <c r="I31">
        <f t="shared" si="1"/>
        <v>2.6700193480000003</v>
      </c>
      <c r="J31">
        <v>5</v>
      </c>
    </row>
    <row r="32" spans="1:10" x14ac:dyDescent="0.35">
      <c r="A32" t="s">
        <v>8</v>
      </c>
      <c r="B32" t="s">
        <v>125</v>
      </c>
      <c r="C32" t="s">
        <v>177</v>
      </c>
      <c r="D32">
        <v>7</v>
      </c>
      <c r="E32">
        <v>270.57000199999999</v>
      </c>
      <c r="F32">
        <v>4028.178993</v>
      </c>
      <c r="G32">
        <f t="shared" si="0"/>
        <v>402817.89929999999</v>
      </c>
      <c r="H32">
        <v>161003.4669</v>
      </c>
      <c r="I32">
        <f t="shared" si="1"/>
        <v>0.1610034669</v>
      </c>
      <c r="J32">
        <v>5</v>
      </c>
    </row>
    <row r="33" spans="1:10" x14ac:dyDescent="0.35">
      <c r="A33" t="s">
        <v>8</v>
      </c>
      <c r="B33" t="s">
        <v>219</v>
      </c>
      <c r="C33" t="s">
        <v>172</v>
      </c>
      <c r="D33">
        <v>7</v>
      </c>
      <c r="E33">
        <v>526.84000100000003</v>
      </c>
      <c r="F33">
        <v>17947.70996</v>
      </c>
      <c r="G33">
        <f t="shared" si="0"/>
        <v>1794770.996</v>
      </c>
      <c r="H33">
        <v>1213086.2320000001</v>
      </c>
      <c r="I33">
        <f t="shared" si="1"/>
        <v>1.213086232</v>
      </c>
      <c r="J33">
        <v>1</v>
      </c>
    </row>
    <row r="34" spans="1:10" x14ac:dyDescent="0.35">
      <c r="A34" t="s">
        <v>8</v>
      </c>
      <c r="B34" t="s">
        <v>127</v>
      </c>
      <c r="C34" t="s">
        <v>147</v>
      </c>
      <c r="D34">
        <v>7</v>
      </c>
      <c r="E34">
        <v>389.28000100000003</v>
      </c>
      <c r="F34">
        <v>7571.3319890000002</v>
      </c>
      <c r="G34">
        <f t="shared" ref="G34:G65" si="2">(F34)/(0.01)</f>
        <v>757133.19889999996</v>
      </c>
      <c r="H34">
        <v>358027.1531</v>
      </c>
      <c r="I34">
        <f t="shared" ref="I34:I65" si="3">(H34)/(1*10^9)*1000</f>
        <v>0.3580271531</v>
      </c>
      <c r="J34">
        <v>3</v>
      </c>
    </row>
    <row r="35" spans="1:10" x14ac:dyDescent="0.35">
      <c r="A35" t="s">
        <v>8</v>
      </c>
      <c r="B35" t="s">
        <v>129</v>
      </c>
      <c r="C35" t="s">
        <v>180</v>
      </c>
      <c r="D35">
        <v>7</v>
      </c>
      <c r="E35">
        <v>231.870002</v>
      </c>
      <c r="F35">
        <v>7822.5400049999998</v>
      </c>
      <c r="G35">
        <f t="shared" si="2"/>
        <v>782254.00049999997</v>
      </c>
      <c r="H35">
        <v>523602.27740000002</v>
      </c>
      <c r="I35">
        <f t="shared" si="3"/>
        <v>0.52360227740000009</v>
      </c>
      <c r="J35">
        <v>18</v>
      </c>
    </row>
    <row r="36" spans="1:10" x14ac:dyDescent="0.35">
      <c r="A36" t="s">
        <v>8</v>
      </c>
      <c r="B36" t="s">
        <v>22</v>
      </c>
      <c r="D36">
        <v>7</v>
      </c>
      <c r="E36">
        <v>705.84000003339997</v>
      </c>
      <c r="F36">
        <v>21242.907940864599</v>
      </c>
      <c r="G36">
        <f t="shared" si="2"/>
        <v>2124290.79408646</v>
      </c>
      <c r="H36">
        <v>1353796.86306763</v>
      </c>
      <c r="I36">
        <f t="shared" si="3"/>
        <v>1.35379686306763</v>
      </c>
      <c r="J36">
        <v>1</v>
      </c>
    </row>
    <row r="37" spans="1:10" x14ac:dyDescent="0.35">
      <c r="A37" t="s">
        <v>8</v>
      </c>
      <c r="B37" t="s">
        <v>87</v>
      </c>
      <c r="D37">
        <v>7</v>
      </c>
      <c r="E37">
        <v>319.66999849680002</v>
      </c>
      <c r="F37">
        <v>6527.8060598373004</v>
      </c>
      <c r="G37">
        <f t="shared" si="2"/>
        <v>652780.60598373006</v>
      </c>
      <c r="H37">
        <v>317525.24740600598</v>
      </c>
      <c r="I37">
        <f t="shared" si="3"/>
        <v>0.31752524740600596</v>
      </c>
      <c r="J37">
        <v>1</v>
      </c>
    </row>
    <row r="38" spans="1:10" x14ac:dyDescent="0.35">
      <c r="A38" t="s">
        <v>8</v>
      </c>
      <c r="B38" t="s">
        <v>133</v>
      </c>
      <c r="C38" t="s">
        <v>158</v>
      </c>
      <c r="D38">
        <v>7</v>
      </c>
      <c r="E38">
        <v>209.20999800000001</v>
      </c>
      <c r="F38">
        <v>5040.4799979999998</v>
      </c>
      <c r="G38">
        <f t="shared" si="2"/>
        <v>504047.99979999999</v>
      </c>
      <c r="H38">
        <v>278104.06439999997</v>
      </c>
      <c r="I38">
        <f t="shared" si="3"/>
        <v>0.27810406439999996</v>
      </c>
      <c r="J38">
        <v>2</v>
      </c>
    </row>
    <row r="39" spans="1:10" x14ac:dyDescent="0.35">
      <c r="A39" t="s">
        <v>174</v>
      </c>
      <c r="B39" t="s">
        <v>37</v>
      </c>
      <c r="D39">
        <v>7</v>
      </c>
      <c r="E39">
        <v>453.66999775170001</v>
      </c>
      <c r="F39">
        <v>6643.7140116691999</v>
      </c>
      <c r="G39">
        <f t="shared" si="2"/>
        <v>664371.40116691997</v>
      </c>
      <c r="H39">
        <v>262459.67753601098</v>
      </c>
      <c r="I39">
        <f t="shared" si="3"/>
        <v>0.26245967753601096</v>
      </c>
      <c r="J39">
        <v>1</v>
      </c>
    </row>
    <row r="40" spans="1:10" x14ac:dyDescent="0.35">
      <c r="A40" t="s">
        <v>174</v>
      </c>
      <c r="B40" t="s">
        <v>72</v>
      </c>
      <c r="C40" t="s">
        <v>183</v>
      </c>
      <c r="D40">
        <v>7</v>
      </c>
      <c r="E40">
        <v>404.72999900000002</v>
      </c>
      <c r="F40">
        <v>9420.0409670000008</v>
      </c>
      <c r="G40">
        <f t="shared" si="2"/>
        <v>942004.09670000011</v>
      </c>
      <c r="H40">
        <v>505248.92259999999</v>
      </c>
      <c r="I40">
        <f t="shared" si="3"/>
        <v>0.50524892259999998</v>
      </c>
      <c r="J40">
        <v>3</v>
      </c>
    </row>
    <row r="41" spans="1:10" x14ac:dyDescent="0.35">
      <c r="A41" t="s">
        <v>174</v>
      </c>
      <c r="B41" t="s">
        <v>218</v>
      </c>
      <c r="C41" t="s">
        <v>175</v>
      </c>
      <c r="D41">
        <v>7</v>
      </c>
      <c r="E41">
        <v>318.97000000000003</v>
      </c>
      <c r="F41">
        <v>7386.611989</v>
      </c>
      <c r="G41">
        <f t="shared" si="2"/>
        <v>738661.19889999996</v>
      </c>
      <c r="H41">
        <v>391899.80690000003</v>
      </c>
      <c r="I41">
        <f t="shared" si="3"/>
        <v>0.39189980690000004</v>
      </c>
      <c r="J41">
        <v>1</v>
      </c>
    </row>
    <row r="42" spans="1:10" x14ac:dyDescent="0.35">
      <c r="A42" t="s">
        <v>3</v>
      </c>
      <c r="B42" t="s">
        <v>110</v>
      </c>
      <c r="C42" t="s">
        <v>3</v>
      </c>
      <c r="D42">
        <v>7</v>
      </c>
      <c r="E42">
        <v>317.82999699999999</v>
      </c>
      <c r="F42">
        <v>10902.795959999999</v>
      </c>
      <c r="G42">
        <f t="shared" si="2"/>
        <v>1090279.5959999999</v>
      </c>
      <c r="H42">
        <v>731774.74710000004</v>
      </c>
      <c r="I42">
        <f t="shared" si="3"/>
        <v>0.73177474710000001</v>
      </c>
      <c r="J42">
        <v>2</v>
      </c>
    </row>
    <row r="43" spans="1:10" x14ac:dyDescent="0.35">
      <c r="A43" t="s">
        <v>144</v>
      </c>
      <c r="B43" t="s">
        <v>94</v>
      </c>
      <c r="C43" t="s">
        <v>164</v>
      </c>
      <c r="D43">
        <v>7</v>
      </c>
      <c r="E43">
        <v>538.71000300000003</v>
      </c>
      <c r="F43">
        <v>13504.57998</v>
      </c>
      <c r="G43">
        <f t="shared" si="2"/>
        <v>1350457.9979999999</v>
      </c>
      <c r="H43">
        <v>762914.40029999998</v>
      </c>
      <c r="I43">
        <f t="shared" si="3"/>
        <v>0.76291440030000002</v>
      </c>
      <c r="J43">
        <v>10</v>
      </c>
    </row>
    <row r="44" spans="1:10" x14ac:dyDescent="0.35">
      <c r="A44" t="s">
        <v>144</v>
      </c>
      <c r="B44" t="s">
        <v>86</v>
      </c>
      <c r="C44" t="s">
        <v>161</v>
      </c>
      <c r="D44">
        <v>7</v>
      </c>
      <c r="E44">
        <v>314.08999899999998</v>
      </c>
      <c r="F44">
        <v>8312.5789760000007</v>
      </c>
      <c r="G44">
        <f t="shared" si="2"/>
        <v>831257.89760000003</v>
      </c>
      <c r="H44">
        <v>473140.31400000001</v>
      </c>
      <c r="I44">
        <f t="shared" si="3"/>
        <v>0.47314031400000001</v>
      </c>
      <c r="J44">
        <v>1</v>
      </c>
    </row>
    <row r="45" spans="1:10" x14ac:dyDescent="0.35">
      <c r="A45" t="s">
        <v>144</v>
      </c>
      <c r="B45" t="s">
        <v>114</v>
      </c>
      <c r="C45" t="s">
        <v>166</v>
      </c>
      <c r="D45">
        <v>7</v>
      </c>
      <c r="E45">
        <v>769.52</v>
      </c>
      <c r="F45">
        <v>29118.651999999998</v>
      </c>
      <c r="G45">
        <f t="shared" si="2"/>
        <v>2911865.1999999997</v>
      </c>
      <c r="H45">
        <v>2116453.4989999998</v>
      </c>
      <c r="I45">
        <f t="shared" si="3"/>
        <v>2.1164534989999995</v>
      </c>
      <c r="J45">
        <v>2</v>
      </c>
    </row>
    <row r="46" spans="1:10" x14ac:dyDescent="0.35">
      <c r="A46" t="s">
        <v>144</v>
      </c>
      <c r="B46" t="s">
        <v>118</v>
      </c>
      <c r="C46" t="s">
        <v>145</v>
      </c>
      <c r="D46">
        <v>7</v>
      </c>
      <c r="E46">
        <v>336.10000200000002</v>
      </c>
      <c r="F46">
        <v>9256.4969799999999</v>
      </c>
      <c r="G46">
        <f t="shared" si="2"/>
        <v>925649.69799999997</v>
      </c>
      <c r="H46">
        <v>546529.82739999995</v>
      </c>
      <c r="I46">
        <f t="shared" si="3"/>
        <v>0.5465298274</v>
      </c>
      <c r="J46">
        <v>3</v>
      </c>
    </row>
    <row r="47" spans="1:10" x14ac:dyDescent="0.35">
      <c r="A47" t="s">
        <v>229</v>
      </c>
      <c r="B47" t="s">
        <v>71</v>
      </c>
      <c r="D47">
        <v>7</v>
      </c>
      <c r="E47">
        <v>267.76000034809999</v>
      </c>
      <c r="F47">
        <v>4399.9180049896004</v>
      </c>
      <c r="G47">
        <f t="shared" si="2"/>
        <v>439991.80049896002</v>
      </c>
      <c r="H47">
        <v>187278.432952881</v>
      </c>
      <c r="I47">
        <f t="shared" si="3"/>
        <v>0.18727843295288102</v>
      </c>
      <c r="J47">
        <v>1</v>
      </c>
    </row>
    <row r="48" spans="1:10" x14ac:dyDescent="0.35">
      <c r="A48" t="s">
        <v>8</v>
      </c>
      <c r="B48" t="s">
        <v>29</v>
      </c>
      <c r="D48">
        <v>6</v>
      </c>
      <c r="E48">
        <v>44.6099999845</v>
      </c>
      <c r="F48">
        <v>244.3129982948</v>
      </c>
      <c r="G48">
        <f t="shared" si="2"/>
        <v>24431.299829479998</v>
      </c>
      <c r="H48">
        <v>5091.6790657044003</v>
      </c>
      <c r="I48">
        <f t="shared" si="3"/>
        <v>5.0916790657044003E-3</v>
      </c>
      <c r="J48">
        <v>1</v>
      </c>
    </row>
    <row r="49" spans="1:10" x14ac:dyDescent="0.35">
      <c r="A49" t="s">
        <v>8</v>
      </c>
      <c r="B49" t="s">
        <v>34</v>
      </c>
      <c r="D49">
        <v>6</v>
      </c>
      <c r="E49">
        <v>312.47000154850002</v>
      </c>
      <c r="F49">
        <v>2232.5779848099</v>
      </c>
      <c r="G49">
        <f t="shared" si="2"/>
        <v>223257.79848098999</v>
      </c>
      <c r="H49">
        <v>56695.7771148682</v>
      </c>
      <c r="I49">
        <f t="shared" si="3"/>
        <v>5.6695777114868201E-2</v>
      </c>
      <c r="J49">
        <v>1</v>
      </c>
    </row>
    <row r="50" spans="1:10" x14ac:dyDescent="0.35">
      <c r="A50" t="s">
        <v>8</v>
      </c>
      <c r="B50" t="s">
        <v>46</v>
      </c>
      <c r="D50">
        <v>6</v>
      </c>
      <c r="E50">
        <v>312.47000154850002</v>
      </c>
      <c r="F50">
        <v>2232.5779848099</v>
      </c>
      <c r="G50">
        <f t="shared" si="2"/>
        <v>223257.79848098999</v>
      </c>
      <c r="H50">
        <v>56695.7771148682</v>
      </c>
      <c r="I50">
        <f t="shared" si="3"/>
        <v>5.6695777114868201E-2</v>
      </c>
      <c r="J50">
        <v>5</v>
      </c>
    </row>
    <row r="51" spans="1:10" ht="16" customHeight="1" x14ac:dyDescent="0.35">
      <c r="A51" t="s">
        <v>8</v>
      </c>
      <c r="B51" t="s">
        <v>48</v>
      </c>
      <c r="D51">
        <v>6</v>
      </c>
      <c r="E51">
        <v>17.959999859300002</v>
      </c>
      <c r="F51">
        <v>136.09599781040001</v>
      </c>
      <c r="G51">
        <f t="shared" si="2"/>
        <v>13609.59978104</v>
      </c>
      <c r="H51">
        <v>3503.095954895</v>
      </c>
      <c r="I51">
        <f t="shared" si="3"/>
        <v>3.5030959548949998E-3</v>
      </c>
      <c r="J51">
        <v>2</v>
      </c>
    </row>
    <row r="52" spans="1:10" x14ac:dyDescent="0.35">
      <c r="A52" t="s">
        <v>8</v>
      </c>
      <c r="B52" t="s">
        <v>92</v>
      </c>
      <c r="C52" t="s">
        <v>198</v>
      </c>
      <c r="D52">
        <v>6</v>
      </c>
      <c r="E52">
        <v>32.65</v>
      </c>
      <c r="F52">
        <v>343.925006</v>
      </c>
      <c r="G52">
        <f t="shared" si="2"/>
        <v>34392.500599999999</v>
      </c>
      <c r="H52">
        <v>10918.83383</v>
      </c>
      <c r="I52">
        <f t="shared" si="3"/>
        <v>1.0918833829999999E-2</v>
      </c>
      <c r="J52">
        <v>3</v>
      </c>
    </row>
    <row r="53" spans="1:10" x14ac:dyDescent="0.35">
      <c r="A53" t="s">
        <v>8</v>
      </c>
      <c r="B53" t="s">
        <v>222</v>
      </c>
      <c r="C53" t="s">
        <v>149</v>
      </c>
      <c r="D53">
        <v>6</v>
      </c>
      <c r="E53">
        <v>111.36</v>
      </c>
      <c r="F53">
        <v>559.26299900000004</v>
      </c>
      <c r="G53">
        <f t="shared" si="2"/>
        <v>55926.299900000005</v>
      </c>
      <c r="H53">
        <v>11669.6911</v>
      </c>
      <c r="I53">
        <f t="shared" si="3"/>
        <v>1.1669691099999999E-2</v>
      </c>
      <c r="J53">
        <v>1</v>
      </c>
    </row>
    <row r="54" spans="1:10" x14ac:dyDescent="0.35">
      <c r="A54" t="s">
        <v>8</v>
      </c>
      <c r="B54" t="s">
        <v>80</v>
      </c>
      <c r="C54" t="s">
        <v>149</v>
      </c>
      <c r="D54">
        <v>6</v>
      </c>
      <c r="E54">
        <v>394.59</v>
      </c>
      <c r="F54">
        <v>5448.3620149999997</v>
      </c>
      <c r="G54">
        <f t="shared" si="2"/>
        <v>544836.20149999997</v>
      </c>
      <c r="H54">
        <v>207866.54629999999</v>
      </c>
      <c r="I54">
        <f t="shared" si="3"/>
        <v>0.20786654629999998</v>
      </c>
      <c r="J54">
        <v>1</v>
      </c>
    </row>
    <row r="55" spans="1:10" x14ac:dyDescent="0.35">
      <c r="A55" t="s">
        <v>8</v>
      </c>
      <c r="B55" t="s">
        <v>100</v>
      </c>
      <c r="C55" t="s">
        <v>199</v>
      </c>
      <c r="D55">
        <v>6</v>
      </c>
      <c r="E55">
        <v>316.94999899999999</v>
      </c>
      <c r="F55">
        <v>3417.9459769999999</v>
      </c>
      <c r="G55">
        <f t="shared" si="2"/>
        <v>341794.59769999998</v>
      </c>
      <c r="H55">
        <v>112933.74830000001</v>
      </c>
      <c r="I55">
        <f t="shared" si="3"/>
        <v>0.11293374830000001</v>
      </c>
      <c r="J55">
        <v>4</v>
      </c>
    </row>
    <row r="56" spans="1:10" x14ac:dyDescent="0.35">
      <c r="A56" t="s">
        <v>8</v>
      </c>
      <c r="B56" t="s">
        <v>25</v>
      </c>
      <c r="D56">
        <v>6</v>
      </c>
      <c r="E56">
        <v>342.26999914650003</v>
      </c>
      <c r="F56">
        <v>4894.3269944190997</v>
      </c>
      <c r="G56">
        <f t="shared" si="2"/>
        <v>489432.69944190996</v>
      </c>
      <c r="H56">
        <v>196918.546401978</v>
      </c>
      <c r="I56">
        <f t="shared" si="3"/>
        <v>0.19691854640197801</v>
      </c>
      <c r="J56">
        <v>2</v>
      </c>
    </row>
    <row r="57" spans="1:10" x14ac:dyDescent="0.35">
      <c r="A57" t="s">
        <v>8</v>
      </c>
      <c r="B57" t="s">
        <v>45</v>
      </c>
      <c r="D57">
        <v>6</v>
      </c>
      <c r="E57">
        <v>9.0200002193</v>
      </c>
      <c r="F57">
        <v>82.944999694800003</v>
      </c>
      <c r="G57">
        <f t="shared" si="2"/>
        <v>8294.4999694800008</v>
      </c>
      <c r="H57">
        <v>2429.3289794921998</v>
      </c>
      <c r="I57">
        <f t="shared" si="3"/>
        <v>2.4293289794921997E-3</v>
      </c>
      <c r="J57">
        <v>1</v>
      </c>
    </row>
    <row r="58" spans="1:10" x14ac:dyDescent="0.35">
      <c r="A58" t="s">
        <v>8</v>
      </c>
      <c r="B58" t="s">
        <v>106</v>
      </c>
      <c r="C58" t="s">
        <v>176</v>
      </c>
      <c r="D58">
        <v>6</v>
      </c>
      <c r="E58">
        <v>289.129999</v>
      </c>
      <c r="F58">
        <v>3646.9089949999998</v>
      </c>
      <c r="G58">
        <f t="shared" si="2"/>
        <v>364690.89949999994</v>
      </c>
      <c r="H58">
        <v>134513.08170000001</v>
      </c>
      <c r="I58">
        <f t="shared" si="3"/>
        <v>0.13451308170000001</v>
      </c>
      <c r="J58">
        <v>1</v>
      </c>
    </row>
    <row r="59" spans="1:10" x14ac:dyDescent="0.35">
      <c r="A59" t="s">
        <v>8</v>
      </c>
      <c r="B59" t="s">
        <v>73</v>
      </c>
      <c r="D59">
        <v>6</v>
      </c>
      <c r="E59">
        <v>84.2100008428</v>
      </c>
      <c r="F59">
        <v>636.40600180629997</v>
      </c>
      <c r="G59">
        <f t="shared" si="2"/>
        <v>63640.600180629997</v>
      </c>
      <c r="H59">
        <v>16490.262977600101</v>
      </c>
      <c r="I59">
        <f t="shared" si="3"/>
        <v>1.64902629776001E-2</v>
      </c>
      <c r="J59">
        <v>2</v>
      </c>
    </row>
    <row r="60" spans="1:10" x14ac:dyDescent="0.35">
      <c r="A60" t="s">
        <v>8</v>
      </c>
      <c r="B60" t="s">
        <v>50</v>
      </c>
      <c r="D60">
        <v>6</v>
      </c>
      <c r="E60">
        <v>294.73000091310001</v>
      </c>
      <c r="F60">
        <v>3614.2929961681002</v>
      </c>
      <c r="G60">
        <f t="shared" si="2"/>
        <v>361429.29961680999</v>
      </c>
      <c r="H60">
        <v>131632.48320007301</v>
      </c>
      <c r="I60">
        <f t="shared" si="3"/>
        <v>0.13163248320007301</v>
      </c>
      <c r="J60">
        <v>1</v>
      </c>
    </row>
    <row r="61" spans="1:10" x14ac:dyDescent="0.35">
      <c r="A61" t="s">
        <v>8</v>
      </c>
      <c r="B61" t="s">
        <v>221</v>
      </c>
      <c r="D61">
        <v>6</v>
      </c>
      <c r="E61">
        <v>14.579999923700001</v>
      </c>
      <c r="F61">
        <v>224.28699874879999</v>
      </c>
      <c r="G61">
        <f t="shared" si="2"/>
        <v>22428.69987488</v>
      </c>
      <c r="H61">
        <v>9094.5170898437991</v>
      </c>
      <c r="I61">
        <f t="shared" si="3"/>
        <v>9.0945170898437989E-3</v>
      </c>
      <c r="J61">
        <v>1</v>
      </c>
    </row>
    <row r="62" spans="1:10" x14ac:dyDescent="0.35">
      <c r="A62" t="s">
        <v>8</v>
      </c>
      <c r="B62" t="s">
        <v>26</v>
      </c>
      <c r="D62">
        <v>6</v>
      </c>
      <c r="E62">
        <v>123.0999995768</v>
      </c>
      <c r="F62">
        <v>1396.2890062332001</v>
      </c>
      <c r="G62">
        <f t="shared" si="2"/>
        <v>139628.90062332002</v>
      </c>
      <c r="H62">
        <v>47271.0429992676</v>
      </c>
      <c r="I62">
        <f t="shared" si="3"/>
        <v>4.7271042999267598E-2</v>
      </c>
      <c r="J62">
        <v>2</v>
      </c>
    </row>
    <row r="63" spans="1:10" x14ac:dyDescent="0.35">
      <c r="A63" t="s">
        <v>8</v>
      </c>
      <c r="B63" t="s">
        <v>112</v>
      </c>
      <c r="C63" t="s">
        <v>197</v>
      </c>
      <c r="D63">
        <v>6</v>
      </c>
      <c r="E63">
        <v>202.07</v>
      </c>
      <c r="F63">
        <v>2140.7969990000001</v>
      </c>
      <c r="G63">
        <f t="shared" si="2"/>
        <v>214079.69990000001</v>
      </c>
      <c r="H63">
        <v>69318.981910000002</v>
      </c>
      <c r="I63">
        <f t="shared" si="3"/>
        <v>6.9318981910000008E-2</v>
      </c>
      <c r="J63">
        <v>7</v>
      </c>
    </row>
    <row r="64" spans="1:10" x14ac:dyDescent="0.35">
      <c r="A64" t="s">
        <v>8</v>
      </c>
      <c r="B64" t="s">
        <v>115</v>
      </c>
      <c r="C64" t="s">
        <v>196</v>
      </c>
      <c r="D64">
        <v>6</v>
      </c>
      <c r="E64">
        <v>85.28</v>
      </c>
      <c r="F64">
        <v>1154.476007</v>
      </c>
      <c r="G64">
        <f t="shared" si="2"/>
        <v>115447.6007</v>
      </c>
      <c r="H64">
        <v>43452.917950000003</v>
      </c>
      <c r="I64">
        <f t="shared" si="3"/>
        <v>4.3452917950000003E-2</v>
      </c>
      <c r="J64">
        <v>3</v>
      </c>
    </row>
    <row r="65" spans="1:10" x14ac:dyDescent="0.35">
      <c r="A65" t="s">
        <v>8</v>
      </c>
      <c r="B65" t="s">
        <v>30</v>
      </c>
      <c r="C65" t="s">
        <v>160</v>
      </c>
      <c r="D65">
        <v>6</v>
      </c>
      <c r="E65">
        <v>402.430003</v>
      </c>
      <c r="F65">
        <v>6497.6300099999999</v>
      </c>
      <c r="G65">
        <f t="shared" si="2"/>
        <v>649763.00099999993</v>
      </c>
      <c r="H65">
        <v>281115.87459999998</v>
      </c>
      <c r="I65">
        <f t="shared" si="3"/>
        <v>0.28111587459999998</v>
      </c>
      <c r="J65">
        <v>2</v>
      </c>
    </row>
    <row r="66" spans="1:10" x14ac:dyDescent="0.35">
      <c r="A66" t="s">
        <v>8</v>
      </c>
      <c r="B66" t="s">
        <v>27</v>
      </c>
      <c r="D66">
        <v>6</v>
      </c>
      <c r="E66">
        <v>67.710000812999994</v>
      </c>
      <c r="F66">
        <v>840.05900287630004</v>
      </c>
      <c r="G66">
        <f t="shared" ref="G66:G97" si="4">(F66)/(0.01)</f>
        <v>84005.900287630007</v>
      </c>
      <c r="H66">
        <v>29560.0520019531</v>
      </c>
      <c r="I66">
        <f t="shared" ref="I66:I97" si="5">(H66)/(1*10^9)*1000</f>
        <v>2.9560052001953101E-2</v>
      </c>
      <c r="J66">
        <v>1</v>
      </c>
    </row>
    <row r="67" spans="1:10" x14ac:dyDescent="0.35">
      <c r="A67" t="s">
        <v>8</v>
      </c>
      <c r="B67" t="s">
        <v>31</v>
      </c>
      <c r="D67">
        <v>6</v>
      </c>
      <c r="E67">
        <v>32.0200002789</v>
      </c>
      <c r="F67">
        <v>517.57999706270004</v>
      </c>
      <c r="G67">
        <f t="shared" si="4"/>
        <v>51757.999706270006</v>
      </c>
      <c r="H67">
        <v>21718.9501647949</v>
      </c>
      <c r="I67">
        <f t="shared" si="5"/>
        <v>2.1718950164794901E-2</v>
      </c>
      <c r="J67">
        <v>3</v>
      </c>
    </row>
    <row r="68" spans="1:10" x14ac:dyDescent="0.35">
      <c r="A68" t="s">
        <v>8</v>
      </c>
      <c r="B68" t="s">
        <v>76</v>
      </c>
      <c r="D68">
        <v>6</v>
      </c>
      <c r="E68">
        <v>226.45000240210001</v>
      </c>
      <c r="F68">
        <v>72129.2585296631</v>
      </c>
      <c r="G68">
        <f t="shared" si="4"/>
        <v>7212925.8529663095</v>
      </c>
      <c r="H68">
        <v>2296.7120075225998</v>
      </c>
      <c r="I68">
        <f t="shared" si="5"/>
        <v>2.2967120075226E-3</v>
      </c>
      <c r="J68">
        <v>1</v>
      </c>
    </row>
    <row r="69" spans="1:10" x14ac:dyDescent="0.35">
      <c r="A69" t="s">
        <v>8</v>
      </c>
      <c r="B69" t="s">
        <v>77</v>
      </c>
      <c r="D69">
        <v>6</v>
      </c>
      <c r="E69">
        <v>32.0200002789</v>
      </c>
      <c r="F69">
        <v>517.57999706270004</v>
      </c>
      <c r="G69">
        <f t="shared" si="4"/>
        <v>51757.999706270006</v>
      </c>
      <c r="H69">
        <v>21718.9501647949</v>
      </c>
      <c r="I69">
        <f t="shared" si="5"/>
        <v>2.1718950164794901E-2</v>
      </c>
      <c r="J69">
        <v>1</v>
      </c>
    </row>
    <row r="70" spans="1:10" x14ac:dyDescent="0.35">
      <c r="A70" t="s">
        <v>8</v>
      </c>
      <c r="B70" t="s">
        <v>41</v>
      </c>
      <c r="D70">
        <v>6</v>
      </c>
      <c r="E70">
        <v>69.839999496900006</v>
      </c>
      <c r="F70">
        <v>842.38000297550002</v>
      </c>
      <c r="G70">
        <f t="shared" si="4"/>
        <v>84238.000297549996</v>
      </c>
      <c r="H70">
        <v>29635.782913208001</v>
      </c>
      <c r="I70">
        <f t="shared" si="5"/>
        <v>2.9635782913208002E-2</v>
      </c>
      <c r="J70">
        <v>1</v>
      </c>
    </row>
    <row r="71" spans="1:10" x14ac:dyDescent="0.35">
      <c r="A71" t="s">
        <v>8</v>
      </c>
      <c r="B71" t="s">
        <v>122</v>
      </c>
      <c r="C71" t="s">
        <v>194</v>
      </c>
      <c r="D71">
        <v>6</v>
      </c>
      <c r="E71">
        <v>212.14</v>
      </c>
      <c r="F71">
        <v>3207.4549999999999</v>
      </c>
      <c r="G71">
        <f t="shared" si="4"/>
        <v>320745.5</v>
      </c>
      <c r="H71">
        <v>128836.734</v>
      </c>
      <c r="I71">
        <f t="shared" si="5"/>
        <v>0.12883673400000001</v>
      </c>
      <c r="J71">
        <v>3</v>
      </c>
    </row>
    <row r="72" spans="1:10" x14ac:dyDescent="0.35">
      <c r="A72" t="s">
        <v>8</v>
      </c>
      <c r="B72" t="s">
        <v>123</v>
      </c>
      <c r="C72" t="s">
        <v>189</v>
      </c>
      <c r="D72">
        <v>6</v>
      </c>
      <c r="E72">
        <v>553.46000100000003</v>
      </c>
      <c r="F72">
        <v>9732.7539639999995</v>
      </c>
      <c r="G72">
        <f t="shared" si="4"/>
        <v>973275.39639999997</v>
      </c>
      <c r="H72">
        <v>441325.26020000002</v>
      </c>
      <c r="I72">
        <f t="shared" si="5"/>
        <v>0.44132526020000001</v>
      </c>
      <c r="J72">
        <v>5</v>
      </c>
    </row>
    <row r="73" spans="1:10" x14ac:dyDescent="0.35">
      <c r="A73" t="s">
        <v>8</v>
      </c>
      <c r="B73" t="s">
        <v>49</v>
      </c>
      <c r="C73" t="s">
        <v>204</v>
      </c>
      <c r="D73">
        <v>6</v>
      </c>
      <c r="E73">
        <v>365.24000100000001</v>
      </c>
      <c r="F73">
        <v>5450.092987</v>
      </c>
      <c r="G73">
        <f t="shared" si="4"/>
        <v>545009.29870000004</v>
      </c>
      <c r="H73">
        <v>223037.111</v>
      </c>
      <c r="I73">
        <f t="shared" si="5"/>
        <v>0.22303711100000001</v>
      </c>
      <c r="J73">
        <v>4</v>
      </c>
    </row>
    <row r="74" spans="1:10" x14ac:dyDescent="0.35">
      <c r="A74" t="s">
        <v>8</v>
      </c>
      <c r="B74" t="s">
        <v>40</v>
      </c>
      <c r="D74">
        <v>6</v>
      </c>
      <c r="E74">
        <v>345.70000138879999</v>
      </c>
      <c r="F74">
        <v>4086.5859940052001</v>
      </c>
      <c r="G74">
        <f t="shared" si="4"/>
        <v>408658.59940051998</v>
      </c>
      <c r="H74">
        <v>144380.598617554</v>
      </c>
      <c r="I74">
        <f t="shared" si="5"/>
        <v>0.14438059861755401</v>
      </c>
      <c r="J74">
        <v>1</v>
      </c>
    </row>
    <row r="75" spans="1:10" x14ac:dyDescent="0.35">
      <c r="A75" t="s">
        <v>8</v>
      </c>
      <c r="B75" t="s">
        <v>55</v>
      </c>
      <c r="D75">
        <v>6</v>
      </c>
      <c r="E75">
        <v>118.4799989462</v>
      </c>
      <c r="F75">
        <v>705.92899823189998</v>
      </c>
      <c r="G75">
        <f t="shared" si="4"/>
        <v>70592.89982318999</v>
      </c>
      <c r="H75">
        <v>15795.097099304199</v>
      </c>
      <c r="I75">
        <f t="shared" si="5"/>
        <v>1.5795097099304201E-2</v>
      </c>
      <c r="J75">
        <v>1</v>
      </c>
    </row>
    <row r="76" spans="1:10" x14ac:dyDescent="0.35">
      <c r="A76" t="s">
        <v>8</v>
      </c>
      <c r="B76" t="s">
        <v>35</v>
      </c>
      <c r="C76" t="s">
        <v>203</v>
      </c>
      <c r="D76">
        <v>6</v>
      </c>
      <c r="E76">
        <v>269.26999899999998</v>
      </c>
      <c r="F76">
        <v>3859.2999960000002</v>
      </c>
      <c r="G76">
        <f t="shared" si="4"/>
        <v>385929.99960000004</v>
      </c>
      <c r="H76">
        <v>152467.13200000001</v>
      </c>
      <c r="I76">
        <f t="shared" si="5"/>
        <v>0.15246713200000001</v>
      </c>
      <c r="J76">
        <v>6</v>
      </c>
    </row>
    <row r="77" spans="1:10" x14ac:dyDescent="0.35">
      <c r="A77" t="s">
        <v>8</v>
      </c>
      <c r="B77" t="s">
        <v>28</v>
      </c>
      <c r="C77" t="s">
        <v>150</v>
      </c>
      <c r="D77">
        <v>6</v>
      </c>
      <c r="E77">
        <v>53.01</v>
      </c>
      <c r="F77">
        <v>438.45399800000001</v>
      </c>
      <c r="G77">
        <f t="shared" si="4"/>
        <v>43845.399799999999</v>
      </c>
      <c r="H77">
        <v>11992.19196</v>
      </c>
      <c r="I77">
        <f t="shared" si="5"/>
        <v>1.1992191960000001E-2</v>
      </c>
      <c r="J77">
        <v>2</v>
      </c>
    </row>
    <row r="78" spans="1:10" x14ac:dyDescent="0.35">
      <c r="A78" t="s">
        <v>8</v>
      </c>
      <c r="B78" t="s">
        <v>75</v>
      </c>
      <c r="D78">
        <v>6</v>
      </c>
      <c r="E78">
        <v>109.97999948259999</v>
      </c>
      <c r="F78">
        <v>858.70400476459997</v>
      </c>
      <c r="G78">
        <f t="shared" si="4"/>
        <v>85870.400476459996</v>
      </c>
      <c r="H78">
        <v>22571.234954833999</v>
      </c>
      <c r="I78">
        <f t="shared" si="5"/>
        <v>2.2571234954833999E-2</v>
      </c>
      <c r="J78">
        <v>1</v>
      </c>
    </row>
    <row r="79" spans="1:10" x14ac:dyDescent="0.35">
      <c r="A79" t="s">
        <v>8</v>
      </c>
      <c r="B79" t="s">
        <v>44</v>
      </c>
      <c r="D79">
        <v>6</v>
      </c>
      <c r="E79">
        <v>9.9200000762999991</v>
      </c>
      <c r="F79">
        <v>117.29499816889999</v>
      </c>
      <c r="G79">
        <f t="shared" si="4"/>
        <v>11729.499816889998</v>
      </c>
      <c r="H79">
        <v>3996.0510253906</v>
      </c>
      <c r="I79">
        <f t="shared" si="5"/>
        <v>3.9960510253905998E-3</v>
      </c>
      <c r="J79">
        <v>1</v>
      </c>
    </row>
    <row r="80" spans="1:10" x14ac:dyDescent="0.35">
      <c r="A80" t="s">
        <v>174</v>
      </c>
      <c r="B80" t="s">
        <v>32</v>
      </c>
      <c r="C80" t="s">
        <v>178</v>
      </c>
      <c r="D80">
        <v>6</v>
      </c>
      <c r="E80">
        <v>159.35</v>
      </c>
      <c r="F80">
        <v>1974.0970050000001</v>
      </c>
      <c r="G80">
        <f t="shared" si="4"/>
        <v>197409.70050000001</v>
      </c>
      <c r="H80">
        <v>70353.129090000002</v>
      </c>
      <c r="I80">
        <f t="shared" si="5"/>
        <v>7.0353129089999994E-2</v>
      </c>
      <c r="J80">
        <v>2</v>
      </c>
    </row>
    <row r="81" spans="1:10" x14ac:dyDescent="0.35">
      <c r="A81" t="s">
        <v>174</v>
      </c>
      <c r="B81" t="s">
        <v>101</v>
      </c>
      <c r="C81" t="s">
        <v>190</v>
      </c>
      <c r="D81">
        <v>6</v>
      </c>
      <c r="E81">
        <v>478.620001</v>
      </c>
      <c r="F81">
        <v>7752.9019829999997</v>
      </c>
      <c r="G81">
        <f t="shared" si="4"/>
        <v>775290.19829999993</v>
      </c>
      <c r="H81">
        <v>327671.25079999998</v>
      </c>
      <c r="I81">
        <f t="shared" si="5"/>
        <v>0.32767125079999998</v>
      </c>
      <c r="J81">
        <v>2</v>
      </c>
    </row>
    <row r="82" spans="1:10" x14ac:dyDescent="0.35">
      <c r="A82" t="s">
        <v>174</v>
      </c>
      <c r="B82" t="s">
        <v>42</v>
      </c>
      <c r="C82" t="s">
        <v>183</v>
      </c>
      <c r="D82">
        <v>6</v>
      </c>
      <c r="E82">
        <v>196.499999</v>
      </c>
      <c r="F82">
        <v>1531.1680080000001</v>
      </c>
      <c r="G82">
        <f t="shared" si="4"/>
        <v>153116.8008</v>
      </c>
      <c r="H82">
        <v>40272.603020000002</v>
      </c>
      <c r="I82">
        <f t="shared" si="5"/>
        <v>4.0272603019999999E-2</v>
      </c>
      <c r="J82">
        <v>2</v>
      </c>
    </row>
    <row r="83" spans="1:10" x14ac:dyDescent="0.35">
      <c r="A83" t="s">
        <v>174</v>
      </c>
      <c r="B83" t="s">
        <v>220</v>
      </c>
      <c r="C83" t="s">
        <v>191</v>
      </c>
      <c r="D83">
        <v>6</v>
      </c>
      <c r="E83">
        <v>149.77000000000001</v>
      </c>
      <c r="F83">
        <v>1779.7460169999999</v>
      </c>
      <c r="G83">
        <f t="shared" si="4"/>
        <v>177974.6017</v>
      </c>
      <c r="H83">
        <v>61536.291899999997</v>
      </c>
      <c r="I83">
        <f t="shared" si="5"/>
        <v>6.1536291899999998E-2</v>
      </c>
      <c r="J83">
        <v>1</v>
      </c>
    </row>
    <row r="84" spans="1:10" x14ac:dyDescent="0.35">
      <c r="A84" t="s">
        <v>174</v>
      </c>
      <c r="B84" t="s">
        <v>228</v>
      </c>
      <c r="C84" t="s">
        <v>175</v>
      </c>
      <c r="D84">
        <v>6</v>
      </c>
      <c r="E84">
        <v>41.700001</v>
      </c>
      <c r="F84">
        <v>505.92500100000001</v>
      </c>
      <c r="G84">
        <f t="shared" si="4"/>
        <v>50592.500099999997</v>
      </c>
      <c r="H84">
        <v>17775.6302</v>
      </c>
      <c r="I84">
        <f t="shared" si="5"/>
        <v>1.77756302E-2</v>
      </c>
      <c r="J84">
        <v>3</v>
      </c>
    </row>
    <row r="85" spans="1:10" x14ac:dyDescent="0.35">
      <c r="A85" t="s">
        <v>174</v>
      </c>
      <c r="B85" t="s">
        <v>85</v>
      </c>
      <c r="C85" t="s">
        <v>192</v>
      </c>
      <c r="D85">
        <v>6</v>
      </c>
      <c r="E85">
        <v>248.41000099999999</v>
      </c>
      <c r="F85">
        <v>3712.7000170000001</v>
      </c>
      <c r="G85">
        <f t="shared" si="4"/>
        <v>371270.00170000002</v>
      </c>
      <c r="H85">
        <v>152977.2715</v>
      </c>
      <c r="I85">
        <f t="shared" si="5"/>
        <v>0.15297727149999998</v>
      </c>
      <c r="J85">
        <v>1</v>
      </c>
    </row>
    <row r="86" spans="1:10" x14ac:dyDescent="0.35">
      <c r="A86" t="s">
        <v>3</v>
      </c>
      <c r="B86" t="s">
        <v>54</v>
      </c>
      <c r="D86">
        <v>6</v>
      </c>
      <c r="E86">
        <v>164.84000027179999</v>
      </c>
      <c r="F86">
        <v>2666.3509969710999</v>
      </c>
      <c r="G86">
        <f t="shared" si="4"/>
        <v>266635.09969711001</v>
      </c>
      <c r="H86">
        <v>113026.442779541</v>
      </c>
      <c r="I86">
        <f t="shared" si="5"/>
        <v>0.11302644277954101</v>
      </c>
      <c r="J86">
        <v>1</v>
      </c>
    </row>
    <row r="87" spans="1:10" x14ac:dyDescent="0.35">
      <c r="A87" t="s">
        <v>3</v>
      </c>
      <c r="B87" t="s">
        <v>99</v>
      </c>
      <c r="C87" t="s">
        <v>165</v>
      </c>
      <c r="D87">
        <v>6</v>
      </c>
      <c r="E87">
        <v>556.58000000000004</v>
      </c>
      <c r="F87">
        <v>8682.6509929999993</v>
      </c>
      <c r="G87">
        <f t="shared" si="4"/>
        <v>868265.09929999989</v>
      </c>
      <c r="H87">
        <v>358449.88939999999</v>
      </c>
      <c r="I87">
        <f t="shared" si="5"/>
        <v>0.3584498894</v>
      </c>
      <c r="J87">
        <v>4</v>
      </c>
    </row>
    <row r="88" spans="1:10" x14ac:dyDescent="0.35">
      <c r="A88" t="s">
        <v>3</v>
      </c>
      <c r="B88" t="s">
        <v>109</v>
      </c>
      <c r="C88" t="s">
        <v>3</v>
      </c>
      <c r="D88">
        <v>6</v>
      </c>
      <c r="E88">
        <v>746.57000300000004</v>
      </c>
      <c r="F88">
        <v>13568.498009999999</v>
      </c>
      <c r="G88">
        <f t="shared" si="4"/>
        <v>1356849.801</v>
      </c>
      <c r="H88">
        <v>650613.897</v>
      </c>
      <c r="I88">
        <f t="shared" si="5"/>
        <v>0.65061389699999994</v>
      </c>
      <c r="J88">
        <v>3</v>
      </c>
    </row>
    <row r="89" spans="1:10" x14ac:dyDescent="0.35">
      <c r="A89" t="s">
        <v>3</v>
      </c>
      <c r="B89" t="s">
        <v>53</v>
      </c>
      <c r="C89" t="s">
        <v>205</v>
      </c>
      <c r="D89">
        <v>6</v>
      </c>
      <c r="E89">
        <v>168.8</v>
      </c>
      <c r="F89">
        <v>1975.99</v>
      </c>
      <c r="G89">
        <f t="shared" si="4"/>
        <v>197599</v>
      </c>
      <c r="H89">
        <v>67584.017330000002</v>
      </c>
      <c r="I89">
        <f t="shared" si="5"/>
        <v>6.758401733000001E-2</v>
      </c>
      <c r="J89">
        <v>2</v>
      </c>
    </row>
    <row r="90" spans="1:10" x14ac:dyDescent="0.35">
      <c r="A90" t="s">
        <v>200</v>
      </c>
      <c r="B90" t="s">
        <v>51</v>
      </c>
      <c r="C90" t="s">
        <v>201</v>
      </c>
      <c r="D90">
        <v>6</v>
      </c>
      <c r="E90">
        <v>179.86000100000001</v>
      </c>
      <c r="F90">
        <v>2190.105</v>
      </c>
      <c r="G90">
        <f t="shared" si="4"/>
        <v>219010.5</v>
      </c>
      <c r="H90">
        <v>79100.057130000001</v>
      </c>
      <c r="I90">
        <f t="shared" si="5"/>
        <v>7.9100057129999998E-2</v>
      </c>
      <c r="J90">
        <v>1</v>
      </c>
    </row>
    <row r="91" spans="1:10" x14ac:dyDescent="0.35">
      <c r="A91" t="s">
        <v>230</v>
      </c>
      <c r="B91" t="s">
        <v>33</v>
      </c>
      <c r="D91">
        <v>6</v>
      </c>
      <c r="E91">
        <v>49.150000095400003</v>
      </c>
      <c r="F91">
        <v>216.49900150299999</v>
      </c>
      <c r="G91">
        <f t="shared" si="4"/>
        <v>21649.9001503</v>
      </c>
      <c r="H91">
        <v>4031.8499603271998</v>
      </c>
      <c r="I91">
        <f t="shared" si="5"/>
        <v>4.0318499603271994E-3</v>
      </c>
      <c r="J91">
        <v>1</v>
      </c>
    </row>
    <row r="92" spans="1:10" x14ac:dyDescent="0.35">
      <c r="A92" t="s">
        <v>231</v>
      </c>
      <c r="B92" t="s">
        <v>52</v>
      </c>
      <c r="D92">
        <v>6</v>
      </c>
      <c r="E92">
        <v>88.200000375499997</v>
      </c>
      <c r="F92">
        <v>924.77600097660002</v>
      </c>
      <c r="G92">
        <f t="shared" si="4"/>
        <v>92477.600097660004</v>
      </c>
      <c r="H92">
        <v>29615.465942382802</v>
      </c>
      <c r="I92">
        <f t="shared" si="5"/>
        <v>2.9615465942382801E-2</v>
      </c>
      <c r="J92">
        <v>1</v>
      </c>
    </row>
    <row r="93" spans="1:10" x14ac:dyDescent="0.35">
      <c r="A93" t="s">
        <v>144</v>
      </c>
      <c r="B93" t="s">
        <v>93</v>
      </c>
      <c r="C93" t="s">
        <v>164</v>
      </c>
      <c r="D93">
        <v>6</v>
      </c>
      <c r="E93">
        <v>320.86999800000001</v>
      </c>
      <c r="F93">
        <v>3030.6269870000001</v>
      </c>
      <c r="G93">
        <f t="shared" si="4"/>
        <v>303062.69870000001</v>
      </c>
      <c r="H93">
        <v>92728.444610000006</v>
      </c>
      <c r="I93">
        <f t="shared" si="5"/>
        <v>9.2728444610000002E-2</v>
      </c>
      <c r="J93">
        <v>1</v>
      </c>
    </row>
    <row r="94" spans="1:10" x14ac:dyDescent="0.35">
      <c r="A94" t="s">
        <v>144</v>
      </c>
      <c r="B94" t="s">
        <v>96</v>
      </c>
      <c r="C94" t="s">
        <v>188</v>
      </c>
      <c r="D94">
        <v>6</v>
      </c>
      <c r="E94">
        <v>782.15000099999997</v>
      </c>
      <c r="F94">
        <v>10091.35997</v>
      </c>
      <c r="G94">
        <f t="shared" si="4"/>
        <v>1009135.997</v>
      </c>
      <c r="H94">
        <v>368217.91190000001</v>
      </c>
      <c r="I94">
        <f t="shared" si="5"/>
        <v>0.36821791190000003</v>
      </c>
      <c r="J94">
        <v>4</v>
      </c>
    </row>
    <row r="95" spans="1:10" x14ac:dyDescent="0.35">
      <c r="A95" t="s">
        <v>144</v>
      </c>
      <c r="B95" t="s">
        <v>74</v>
      </c>
      <c r="D95">
        <v>6</v>
      </c>
      <c r="E95">
        <v>128.33000108600001</v>
      </c>
      <c r="F95">
        <v>2006.3300013542</v>
      </c>
      <c r="G95">
        <f t="shared" si="4"/>
        <v>200633.00013542001</v>
      </c>
      <c r="H95">
        <v>82427.885116577105</v>
      </c>
      <c r="I95">
        <f t="shared" si="5"/>
        <v>8.2427885116577101E-2</v>
      </c>
      <c r="J95">
        <v>1</v>
      </c>
    </row>
    <row r="96" spans="1:10" x14ac:dyDescent="0.35">
      <c r="A96" t="s">
        <v>144</v>
      </c>
      <c r="B96" t="s">
        <v>227</v>
      </c>
      <c r="C96" t="s">
        <v>195</v>
      </c>
      <c r="D96">
        <v>6</v>
      </c>
      <c r="E96">
        <v>184.39</v>
      </c>
      <c r="F96">
        <v>2122.7809929999999</v>
      </c>
      <c r="G96">
        <f t="shared" si="4"/>
        <v>212278.09929999997</v>
      </c>
      <c r="H96">
        <v>74123.370819999996</v>
      </c>
      <c r="I96">
        <f t="shared" si="5"/>
        <v>7.4123370820000006E-2</v>
      </c>
      <c r="J96">
        <v>6</v>
      </c>
    </row>
    <row r="97" spans="1:10" x14ac:dyDescent="0.35">
      <c r="A97" t="s">
        <v>144</v>
      </c>
      <c r="B97" t="s">
        <v>43</v>
      </c>
      <c r="D97">
        <v>6</v>
      </c>
      <c r="E97">
        <v>58.300000071500001</v>
      </c>
      <c r="F97">
        <v>825.75500011439999</v>
      </c>
      <c r="G97">
        <f t="shared" si="4"/>
        <v>82575.500011440003</v>
      </c>
      <c r="H97">
        <v>31513.595916748</v>
      </c>
      <c r="I97">
        <f t="shared" si="5"/>
        <v>3.1513595916747995E-2</v>
      </c>
      <c r="J97">
        <v>1</v>
      </c>
    </row>
    <row r="98" spans="1:10" x14ac:dyDescent="0.35">
      <c r="A98" t="s">
        <v>144</v>
      </c>
      <c r="B98" t="s">
        <v>131</v>
      </c>
      <c r="C98" t="s">
        <v>187</v>
      </c>
      <c r="D98">
        <v>6</v>
      </c>
      <c r="E98">
        <v>119.48</v>
      </c>
      <c r="F98">
        <v>970.73500000000001</v>
      </c>
      <c r="G98">
        <f t="shared" ref="G98:G128" si="6">(F98)/(0.01)</f>
        <v>97073.5</v>
      </c>
      <c r="H98">
        <v>26692.042119999998</v>
      </c>
      <c r="I98">
        <f t="shared" ref="I98:I128" si="7">(H98)/(1*10^9)*1000</f>
        <v>2.6692042119999999E-2</v>
      </c>
      <c r="J98">
        <v>1</v>
      </c>
    </row>
    <row r="99" spans="1:10" x14ac:dyDescent="0.35">
      <c r="A99" t="s">
        <v>229</v>
      </c>
      <c r="B99" t="s">
        <v>39</v>
      </c>
      <c r="D99">
        <v>6</v>
      </c>
      <c r="E99">
        <v>327.69999951120002</v>
      </c>
      <c r="F99">
        <v>3750.8980178832999</v>
      </c>
      <c r="G99">
        <f t="shared" si="6"/>
        <v>375089.80178832996</v>
      </c>
      <c r="H99">
        <v>127589.967346191</v>
      </c>
      <c r="I99">
        <f t="shared" si="7"/>
        <v>0.12758996734619099</v>
      </c>
      <c r="J99">
        <v>1</v>
      </c>
    </row>
    <row r="100" spans="1:10" x14ac:dyDescent="0.35">
      <c r="A100" t="s">
        <v>8</v>
      </c>
      <c r="B100" t="s">
        <v>47</v>
      </c>
      <c r="D100">
        <v>5</v>
      </c>
      <c r="E100">
        <v>166.67000022529999</v>
      </c>
      <c r="F100">
        <v>1011.8339970112</v>
      </c>
      <c r="G100">
        <f t="shared" si="6"/>
        <v>101183.39970112</v>
      </c>
      <c r="H100">
        <v>22843.370037078901</v>
      </c>
      <c r="I100">
        <f t="shared" si="7"/>
        <v>2.2843370037078901E-2</v>
      </c>
      <c r="J100">
        <v>1</v>
      </c>
    </row>
    <row r="101" spans="1:10" x14ac:dyDescent="0.35">
      <c r="A101" t="s">
        <v>8</v>
      </c>
      <c r="B101" t="s">
        <v>68</v>
      </c>
      <c r="D101">
        <v>5</v>
      </c>
      <c r="E101">
        <v>281.98000162839998</v>
      </c>
      <c r="F101">
        <v>2200.1020107269001</v>
      </c>
      <c r="G101">
        <f t="shared" si="6"/>
        <v>220010.20107268999</v>
      </c>
      <c r="H101">
        <v>59898.202941894502</v>
      </c>
      <c r="I101">
        <f t="shared" si="7"/>
        <v>5.9898202941894504E-2</v>
      </c>
      <c r="J101">
        <v>1</v>
      </c>
    </row>
    <row r="102" spans="1:10" x14ac:dyDescent="0.35">
      <c r="A102" t="s">
        <v>8</v>
      </c>
      <c r="B102" t="s">
        <v>226</v>
      </c>
      <c r="C102" t="s">
        <v>156</v>
      </c>
      <c r="D102">
        <v>5</v>
      </c>
      <c r="E102">
        <v>80.180000000000007</v>
      </c>
      <c r="F102">
        <v>432.51600100000002</v>
      </c>
      <c r="G102">
        <f t="shared" si="6"/>
        <v>43251.600100000003</v>
      </c>
      <c r="H102">
        <v>8960.6229779999994</v>
      </c>
      <c r="I102">
        <f t="shared" si="7"/>
        <v>8.9606229780000001E-3</v>
      </c>
      <c r="J102">
        <v>7</v>
      </c>
    </row>
    <row r="103" spans="1:10" x14ac:dyDescent="0.35">
      <c r="A103" t="s">
        <v>8</v>
      </c>
      <c r="B103" t="s">
        <v>88</v>
      </c>
      <c r="D103">
        <v>5</v>
      </c>
      <c r="E103">
        <v>303.61000093820002</v>
      </c>
      <c r="F103">
        <v>2658.4950072765</v>
      </c>
      <c r="G103">
        <f t="shared" si="6"/>
        <v>265849.50072765001</v>
      </c>
      <c r="H103">
        <v>77017.225898742705</v>
      </c>
      <c r="I103">
        <f t="shared" si="7"/>
        <v>7.70172258987427E-2</v>
      </c>
      <c r="J103">
        <v>2</v>
      </c>
    </row>
    <row r="104" spans="1:10" x14ac:dyDescent="0.35">
      <c r="A104" t="s">
        <v>8</v>
      </c>
      <c r="B104" t="s">
        <v>84</v>
      </c>
      <c r="D104">
        <v>5</v>
      </c>
      <c r="E104">
        <v>68.080001234999997</v>
      </c>
      <c r="F104">
        <v>539.92999744420001</v>
      </c>
      <c r="G104">
        <f t="shared" si="6"/>
        <v>53992.999744419998</v>
      </c>
      <c r="H104">
        <v>14300.5891113281</v>
      </c>
      <c r="I104">
        <f t="shared" si="7"/>
        <v>1.43005891113281E-2</v>
      </c>
      <c r="J104">
        <v>1</v>
      </c>
    </row>
    <row r="105" spans="1:10" x14ac:dyDescent="0.35">
      <c r="A105" t="s">
        <v>8</v>
      </c>
      <c r="B105" t="s">
        <v>81</v>
      </c>
      <c r="C105" t="s">
        <v>167</v>
      </c>
      <c r="D105">
        <v>5</v>
      </c>
      <c r="E105">
        <v>172.32</v>
      </c>
      <c r="F105">
        <v>1260.255991</v>
      </c>
      <c r="G105">
        <f t="shared" si="6"/>
        <v>126025.59909999999</v>
      </c>
      <c r="H105">
        <v>32504.354920000002</v>
      </c>
      <c r="I105">
        <f t="shared" si="7"/>
        <v>3.2504354919999999E-2</v>
      </c>
      <c r="J105">
        <v>1</v>
      </c>
    </row>
    <row r="106" spans="1:10" x14ac:dyDescent="0.35">
      <c r="A106" t="s">
        <v>8</v>
      </c>
      <c r="B106" t="s">
        <v>58</v>
      </c>
      <c r="D106">
        <v>5</v>
      </c>
      <c r="E106">
        <v>103.7999999523</v>
      </c>
      <c r="F106">
        <v>500.63100409510002</v>
      </c>
      <c r="G106">
        <f t="shared" si="6"/>
        <v>50063.10040951</v>
      </c>
      <c r="H106">
        <v>9662.1169548034995</v>
      </c>
      <c r="I106">
        <f t="shared" si="7"/>
        <v>9.6621169548034985E-3</v>
      </c>
      <c r="J106">
        <v>1</v>
      </c>
    </row>
    <row r="107" spans="1:10" x14ac:dyDescent="0.35">
      <c r="A107" t="s">
        <v>8</v>
      </c>
      <c r="B107" t="s">
        <v>89</v>
      </c>
      <c r="D107">
        <v>5</v>
      </c>
      <c r="E107">
        <v>257.8900018036</v>
      </c>
      <c r="F107">
        <v>1623.8230047226</v>
      </c>
      <c r="G107">
        <f t="shared" si="6"/>
        <v>162382.30047225999</v>
      </c>
      <c r="H107">
        <v>38296.816089630098</v>
      </c>
      <c r="I107">
        <f t="shared" si="7"/>
        <v>3.8296816089630099E-2</v>
      </c>
      <c r="J107">
        <v>1</v>
      </c>
    </row>
    <row r="108" spans="1:10" x14ac:dyDescent="0.35">
      <c r="A108" t="s">
        <v>8</v>
      </c>
      <c r="B108" t="s">
        <v>83</v>
      </c>
      <c r="D108">
        <v>5</v>
      </c>
      <c r="E108">
        <v>32.870000243200003</v>
      </c>
      <c r="F108">
        <v>157.18199753760001</v>
      </c>
      <c r="G108">
        <f t="shared" si="6"/>
        <v>15718.19975376</v>
      </c>
      <c r="H108">
        <v>3034.1790008544999</v>
      </c>
      <c r="I108">
        <f t="shared" si="7"/>
        <v>3.0341790008545002E-3</v>
      </c>
      <c r="J108">
        <v>1</v>
      </c>
    </row>
    <row r="109" spans="1:10" x14ac:dyDescent="0.35">
      <c r="A109" t="s">
        <v>8</v>
      </c>
      <c r="B109" t="s">
        <v>121</v>
      </c>
      <c r="C109" t="s">
        <v>194</v>
      </c>
      <c r="D109">
        <v>5</v>
      </c>
      <c r="E109">
        <v>500.87</v>
      </c>
      <c r="F109">
        <v>3116.683</v>
      </c>
      <c r="G109">
        <f t="shared" si="6"/>
        <v>311668.3</v>
      </c>
      <c r="H109">
        <v>74869.787849999993</v>
      </c>
      <c r="I109">
        <f t="shared" si="7"/>
        <v>7.4869787849999994E-2</v>
      </c>
      <c r="J109">
        <v>3</v>
      </c>
    </row>
    <row r="110" spans="1:10" x14ac:dyDescent="0.35">
      <c r="A110" t="s">
        <v>8</v>
      </c>
      <c r="B110" t="s">
        <v>62</v>
      </c>
      <c r="D110">
        <v>5</v>
      </c>
      <c r="E110">
        <v>158.77999979259999</v>
      </c>
      <c r="F110">
        <v>969.73200011250003</v>
      </c>
      <c r="G110">
        <f t="shared" si="6"/>
        <v>96973.200011249995</v>
      </c>
      <c r="H110">
        <v>21996.196910858202</v>
      </c>
      <c r="I110">
        <f t="shared" si="7"/>
        <v>2.19961969108582E-2</v>
      </c>
      <c r="J110">
        <v>1</v>
      </c>
    </row>
    <row r="111" spans="1:10" x14ac:dyDescent="0.35">
      <c r="A111" t="s">
        <v>8</v>
      </c>
      <c r="B111" t="s">
        <v>70</v>
      </c>
      <c r="C111" t="s">
        <v>150</v>
      </c>
      <c r="D111">
        <v>5</v>
      </c>
      <c r="E111">
        <v>115.13</v>
      </c>
      <c r="F111">
        <v>686.78099999999995</v>
      </c>
      <c r="G111">
        <f t="shared" si="6"/>
        <v>68678.099999999991</v>
      </c>
      <c r="H111">
        <v>15408.016019999999</v>
      </c>
      <c r="I111">
        <f t="shared" si="7"/>
        <v>1.5408016019999998E-2</v>
      </c>
      <c r="J111">
        <v>1</v>
      </c>
    </row>
    <row r="112" spans="1:10" x14ac:dyDescent="0.35">
      <c r="A112" t="s">
        <v>8</v>
      </c>
      <c r="B112" t="s">
        <v>78</v>
      </c>
      <c r="D112">
        <v>5</v>
      </c>
      <c r="E112">
        <v>156.31999933719999</v>
      </c>
      <c r="F112">
        <v>599.14099740979998</v>
      </c>
      <c r="G112">
        <f t="shared" si="6"/>
        <v>59914.099740979997</v>
      </c>
      <c r="H112">
        <v>9999.5221443175997</v>
      </c>
      <c r="I112">
        <f t="shared" si="7"/>
        <v>9.9995221443175998E-3</v>
      </c>
      <c r="J112">
        <v>1</v>
      </c>
    </row>
    <row r="113" spans="1:10" x14ac:dyDescent="0.35">
      <c r="A113" t="s">
        <v>174</v>
      </c>
      <c r="B113" t="s">
        <v>57</v>
      </c>
      <c r="D113">
        <v>5</v>
      </c>
      <c r="E113">
        <v>145.1899998486</v>
      </c>
      <c r="F113">
        <v>1149.1129989624001</v>
      </c>
      <c r="G113">
        <f t="shared" si="6"/>
        <v>114911.29989624</v>
      </c>
      <c r="H113">
        <v>30854.512275695801</v>
      </c>
      <c r="I113">
        <f t="shared" si="7"/>
        <v>3.08545122756958E-2</v>
      </c>
      <c r="J113">
        <v>1</v>
      </c>
    </row>
    <row r="114" spans="1:10" x14ac:dyDescent="0.35">
      <c r="A114" t="s">
        <v>174</v>
      </c>
      <c r="B114" t="s">
        <v>82</v>
      </c>
      <c r="C114" t="s">
        <v>183</v>
      </c>
      <c r="D114">
        <v>5</v>
      </c>
      <c r="E114">
        <v>42.35</v>
      </c>
      <c r="F114">
        <v>204.73200199999999</v>
      </c>
      <c r="G114">
        <f t="shared" si="6"/>
        <v>20473.200199999999</v>
      </c>
      <c r="H114">
        <v>3946.0109830000001</v>
      </c>
      <c r="I114">
        <f t="shared" si="7"/>
        <v>3.9460109829999998E-3</v>
      </c>
      <c r="J114">
        <v>1</v>
      </c>
    </row>
    <row r="115" spans="1:10" x14ac:dyDescent="0.35">
      <c r="A115" t="s">
        <v>174</v>
      </c>
      <c r="B115" t="s">
        <v>225</v>
      </c>
      <c r="C115" t="s">
        <v>191</v>
      </c>
      <c r="D115">
        <v>5</v>
      </c>
      <c r="E115">
        <v>162.9</v>
      </c>
      <c r="F115">
        <v>1143.119007</v>
      </c>
      <c r="G115">
        <f t="shared" si="6"/>
        <v>114311.9007</v>
      </c>
      <c r="H115">
        <v>28959.81206</v>
      </c>
      <c r="I115">
        <f t="shared" si="7"/>
        <v>2.8959812059999999E-2</v>
      </c>
      <c r="J115">
        <v>1</v>
      </c>
    </row>
    <row r="116" spans="1:10" x14ac:dyDescent="0.35">
      <c r="A116" t="s">
        <v>174</v>
      </c>
      <c r="B116" t="s">
        <v>223</v>
      </c>
      <c r="C116" t="s">
        <v>175</v>
      </c>
      <c r="D116">
        <v>5</v>
      </c>
      <c r="E116">
        <v>64.61</v>
      </c>
      <c r="F116">
        <v>412.06699900000001</v>
      </c>
      <c r="G116">
        <f t="shared" si="6"/>
        <v>41206.6999</v>
      </c>
      <c r="H116">
        <v>9445.1049650000004</v>
      </c>
      <c r="I116">
        <f t="shared" si="7"/>
        <v>9.4451049649999994E-3</v>
      </c>
      <c r="J116">
        <v>1</v>
      </c>
    </row>
    <row r="117" spans="1:10" x14ac:dyDescent="0.35">
      <c r="A117" t="s">
        <v>174</v>
      </c>
      <c r="B117" t="s">
        <v>60</v>
      </c>
      <c r="D117">
        <v>5</v>
      </c>
      <c r="E117">
        <v>417.28999987240002</v>
      </c>
      <c r="F117">
        <v>4012.8859971761999</v>
      </c>
      <c r="G117">
        <f t="shared" si="6"/>
        <v>401288.59971762</v>
      </c>
      <c r="H117">
        <v>127380.957206726</v>
      </c>
      <c r="I117">
        <f t="shared" si="7"/>
        <v>0.12738095720672601</v>
      </c>
      <c r="J117">
        <v>1</v>
      </c>
    </row>
    <row r="118" spans="1:10" x14ac:dyDescent="0.35">
      <c r="A118" t="s">
        <v>3</v>
      </c>
      <c r="B118" t="s">
        <v>69</v>
      </c>
      <c r="D118">
        <v>5</v>
      </c>
      <c r="E118">
        <v>42.480000197899997</v>
      </c>
      <c r="F118">
        <v>175.59300029280001</v>
      </c>
      <c r="G118">
        <f t="shared" si="6"/>
        <v>17559.300029280002</v>
      </c>
      <c r="H118">
        <v>3067.730009079</v>
      </c>
      <c r="I118">
        <f t="shared" si="7"/>
        <v>3.067730009079E-3</v>
      </c>
      <c r="J118">
        <v>1</v>
      </c>
    </row>
    <row r="119" spans="1:10" x14ac:dyDescent="0.35">
      <c r="A119" t="s">
        <v>3</v>
      </c>
      <c r="B119" t="s">
        <v>65</v>
      </c>
      <c r="D119">
        <v>5</v>
      </c>
      <c r="E119">
        <v>143.73999962209999</v>
      </c>
      <c r="F119">
        <v>903.56899762149999</v>
      </c>
      <c r="G119">
        <f t="shared" si="6"/>
        <v>90356.899762150002</v>
      </c>
      <c r="H119">
        <v>20624.7381057739</v>
      </c>
      <c r="I119">
        <f t="shared" si="7"/>
        <v>2.06247381057739E-2</v>
      </c>
      <c r="J119">
        <v>1</v>
      </c>
    </row>
    <row r="120" spans="1:10" x14ac:dyDescent="0.35">
      <c r="A120" t="s">
        <v>3</v>
      </c>
      <c r="B120" t="s">
        <v>66</v>
      </c>
      <c r="D120">
        <v>5</v>
      </c>
      <c r="E120">
        <v>163.28999993209999</v>
      </c>
      <c r="F120">
        <v>634.0850026608</v>
      </c>
      <c r="G120">
        <f t="shared" si="6"/>
        <v>63408.500266080002</v>
      </c>
      <c r="H120">
        <v>10876.0000152588</v>
      </c>
      <c r="I120">
        <f t="shared" si="7"/>
        <v>1.08760000152588E-2</v>
      </c>
      <c r="J120">
        <v>1</v>
      </c>
    </row>
    <row r="121" spans="1:10" x14ac:dyDescent="0.35">
      <c r="A121" t="s">
        <v>230</v>
      </c>
      <c r="B121" t="s">
        <v>64</v>
      </c>
      <c r="D121">
        <v>5</v>
      </c>
      <c r="E121">
        <v>57.500000238399998</v>
      </c>
      <c r="F121">
        <v>245.46500158309999</v>
      </c>
      <c r="G121">
        <f t="shared" si="6"/>
        <v>24546.500158309998</v>
      </c>
      <c r="H121">
        <v>4177.5199661255001</v>
      </c>
      <c r="I121">
        <f t="shared" si="7"/>
        <v>4.1775199661255001E-3</v>
      </c>
      <c r="J121">
        <v>1</v>
      </c>
    </row>
    <row r="122" spans="1:10" x14ac:dyDescent="0.35">
      <c r="A122" t="s">
        <v>144</v>
      </c>
      <c r="B122" t="s">
        <v>59</v>
      </c>
      <c r="D122">
        <v>5</v>
      </c>
      <c r="E122">
        <v>221.8800008595</v>
      </c>
      <c r="F122">
        <v>1165.6370003223001</v>
      </c>
      <c r="G122">
        <f t="shared" si="6"/>
        <v>116563.70003223</v>
      </c>
      <c r="H122">
        <v>24408.597923278801</v>
      </c>
      <c r="I122">
        <f t="shared" si="7"/>
        <v>2.4408597923278801E-2</v>
      </c>
      <c r="J122">
        <v>1</v>
      </c>
    </row>
    <row r="123" spans="1:10" x14ac:dyDescent="0.35">
      <c r="A123" t="s">
        <v>144</v>
      </c>
      <c r="B123" t="s">
        <v>61</v>
      </c>
      <c r="C123" t="s">
        <v>209</v>
      </c>
      <c r="D123">
        <v>5</v>
      </c>
      <c r="E123">
        <v>134.11999900000001</v>
      </c>
      <c r="F123">
        <v>964.36899700000004</v>
      </c>
      <c r="G123">
        <f t="shared" si="6"/>
        <v>96436.899699999994</v>
      </c>
      <c r="H123">
        <v>23273.255089999999</v>
      </c>
      <c r="I123">
        <f t="shared" si="7"/>
        <v>2.3273255089999997E-2</v>
      </c>
      <c r="J123">
        <v>1</v>
      </c>
    </row>
    <row r="124" spans="1:10" x14ac:dyDescent="0.35">
      <c r="A124" t="s">
        <v>144</v>
      </c>
      <c r="B124" t="s">
        <v>224</v>
      </c>
      <c r="C124" t="s">
        <v>195</v>
      </c>
      <c r="D124">
        <v>5</v>
      </c>
      <c r="E124">
        <v>123.77000099999999</v>
      </c>
      <c r="F124">
        <v>731.88800200000003</v>
      </c>
      <c r="G124">
        <f t="shared" si="6"/>
        <v>73188.800199999998</v>
      </c>
      <c r="H124">
        <v>16188.826880000001</v>
      </c>
      <c r="I124">
        <f t="shared" si="7"/>
        <v>1.618882688E-2</v>
      </c>
      <c r="J124">
        <v>1</v>
      </c>
    </row>
    <row r="125" spans="1:10" x14ac:dyDescent="0.35">
      <c r="A125" t="s">
        <v>144</v>
      </c>
      <c r="B125" t="s">
        <v>67</v>
      </c>
      <c r="D125">
        <v>5</v>
      </c>
      <c r="E125">
        <v>41.000000089399997</v>
      </c>
      <c r="F125">
        <v>182.85600113870001</v>
      </c>
      <c r="G125">
        <f t="shared" si="6"/>
        <v>18285.600113870001</v>
      </c>
      <c r="H125">
        <v>3355.4719543456999</v>
      </c>
      <c r="I125">
        <f t="shared" si="7"/>
        <v>3.3554719543457002E-3</v>
      </c>
      <c r="J125">
        <v>1</v>
      </c>
    </row>
    <row r="126" spans="1:10" x14ac:dyDescent="0.35">
      <c r="A126" t="s">
        <v>229</v>
      </c>
      <c r="B126" t="s">
        <v>79</v>
      </c>
      <c r="D126">
        <v>5</v>
      </c>
      <c r="E126">
        <v>73.1999996901</v>
      </c>
      <c r="F126">
        <v>456.60000324250001</v>
      </c>
      <c r="G126">
        <f t="shared" si="6"/>
        <v>45660.000324250002</v>
      </c>
      <c r="H126">
        <v>10530.3009719849</v>
      </c>
      <c r="I126">
        <f t="shared" si="7"/>
        <v>1.05303009719849E-2</v>
      </c>
      <c r="J126">
        <v>1</v>
      </c>
    </row>
    <row r="127" spans="1:10" x14ac:dyDescent="0.35">
      <c r="A127" t="s">
        <v>229</v>
      </c>
      <c r="B127" t="s">
        <v>56</v>
      </c>
      <c r="D127">
        <v>5</v>
      </c>
      <c r="E127">
        <v>290.12000212070001</v>
      </c>
      <c r="F127">
        <v>2152.4909961223998</v>
      </c>
      <c r="G127">
        <f t="shared" si="6"/>
        <v>215249.09961223998</v>
      </c>
      <c r="H127">
        <v>55757.0368804932</v>
      </c>
      <c r="I127">
        <f t="shared" si="7"/>
        <v>5.5757036880493202E-2</v>
      </c>
      <c r="J127">
        <v>1</v>
      </c>
    </row>
    <row r="128" spans="1:10" x14ac:dyDescent="0.35">
      <c r="A128" t="s">
        <v>10</v>
      </c>
      <c r="B128" t="s">
        <v>63</v>
      </c>
      <c r="D128">
        <v>5</v>
      </c>
      <c r="E128">
        <v>77.289999544599993</v>
      </c>
      <c r="F128">
        <v>383.56900048260002</v>
      </c>
      <c r="G128">
        <f t="shared" si="6"/>
        <v>38356.900048260002</v>
      </c>
      <c r="H128">
        <v>7596.3329658508001</v>
      </c>
      <c r="I128">
        <f t="shared" si="7"/>
        <v>7.5963329658508003E-3</v>
      </c>
      <c r="J128">
        <v>1</v>
      </c>
    </row>
    <row r="129" spans="1:93" s="5" customFormat="1" x14ac:dyDescent="0.35">
      <c r="E129" s="7"/>
      <c r="F129" s="7"/>
      <c r="G129" s="8"/>
      <c r="H129" s="7"/>
      <c r="I129" s="8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</row>
    <row r="130" spans="1:93" s="4" customFormat="1" x14ac:dyDescent="0.35">
      <c r="A130" s="4" t="s">
        <v>8</v>
      </c>
      <c r="C130" s="4" t="s">
        <v>147</v>
      </c>
      <c r="D130" s="4">
        <v>8</v>
      </c>
      <c r="E130" s="3">
        <v>1172.980004</v>
      </c>
      <c r="F130" s="3">
        <v>41524.327039999996</v>
      </c>
      <c r="G130" s="6">
        <f t="shared" ref="G130:G173" si="8">F130/0.1</f>
        <v>415243.27039999992</v>
      </c>
      <c r="H130" s="3">
        <v>2863025.2719999999</v>
      </c>
      <c r="I130" s="6">
        <v>2.8630252719999998</v>
      </c>
      <c r="J130" s="4" t="s">
        <v>214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</row>
    <row r="131" spans="1:93" s="4" customFormat="1" x14ac:dyDescent="0.35">
      <c r="A131" s="4" t="s">
        <v>3</v>
      </c>
      <c r="C131" s="4" t="s">
        <v>3</v>
      </c>
      <c r="D131" s="4">
        <v>8</v>
      </c>
      <c r="E131" s="3">
        <v>314.96000299999997</v>
      </c>
      <c r="F131" s="3">
        <v>14689.106019999999</v>
      </c>
      <c r="G131" s="6">
        <f t="shared" si="8"/>
        <v>146891.06019999998</v>
      </c>
      <c r="H131" s="3">
        <v>1193424.0730000001</v>
      </c>
      <c r="I131" s="6">
        <v>1.1934240730000001</v>
      </c>
      <c r="J131" s="4" t="s">
        <v>214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</row>
    <row r="132" spans="1:93" s="4" customFormat="1" x14ac:dyDescent="0.35">
      <c r="A132" s="4" t="s">
        <v>8</v>
      </c>
      <c r="C132" s="4" t="s">
        <v>160</v>
      </c>
      <c r="D132" s="4">
        <v>8</v>
      </c>
      <c r="E132" s="3">
        <v>325.35000000000002</v>
      </c>
      <c r="F132" s="3">
        <v>13515.36702</v>
      </c>
      <c r="G132" s="6">
        <f t="shared" si="8"/>
        <v>135153.67019999999</v>
      </c>
      <c r="H132" s="3">
        <v>1020440.522</v>
      </c>
      <c r="I132" s="6">
        <v>1.0204405219999999</v>
      </c>
      <c r="J132" s="4" t="s">
        <v>214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</row>
    <row r="133" spans="1:93" s="4" customFormat="1" x14ac:dyDescent="0.35">
      <c r="A133" s="4" t="s">
        <v>144</v>
      </c>
      <c r="C133" s="4" t="s">
        <v>161</v>
      </c>
      <c r="D133" s="4">
        <v>8</v>
      </c>
      <c r="E133" s="3">
        <v>221.79</v>
      </c>
      <c r="F133" s="3">
        <v>9116.4669589999994</v>
      </c>
      <c r="G133" s="6">
        <f t="shared" si="8"/>
        <v>91164.66958999999</v>
      </c>
      <c r="H133" s="3">
        <v>684336.28540000005</v>
      </c>
      <c r="I133" s="6">
        <v>0.68433628499999999</v>
      </c>
      <c r="J133" s="4" t="s">
        <v>214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</row>
    <row r="134" spans="1:93" s="4" customFormat="1" x14ac:dyDescent="0.35">
      <c r="A134" s="4" t="s">
        <v>8</v>
      </c>
      <c r="C134" s="4" t="s">
        <v>146</v>
      </c>
      <c r="D134" s="4">
        <v>7</v>
      </c>
      <c r="E134" s="3">
        <v>103.530001</v>
      </c>
      <c r="F134" s="3">
        <v>2662.519988</v>
      </c>
      <c r="G134" s="6">
        <f t="shared" si="8"/>
        <v>26625.19988</v>
      </c>
      <c r="H134" s="3">
        <v>149253.5454</v>
      </c>
      <c r="I134" s="6">
        <v>0.14925354499999999</v>
      </c>
      <c r="J134" s="4" t="s">
        <v>214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</row>
    <row r="135" spans="1:93" s="4" customFormat="1" x14ac:dyDescent="0.35">
      <c r="A135" s="4" t="s">
        <v>8</v>
      </c>
      <c r="C135" s="4" t="s">
        <v>149</v>
      </c>
      <c r="D135" s="4">
        <v>7</v>
      </c>
      <c r="E135" s="3">
        <v>150.60000099999999</v>
      </c>
      <c r="F135" s="3">
        <v>3049.6779809999998</v>
      </c>
      <c r="G135" s="6">
        <f t="shared" si="8"/>
        <v>30496.779809999996</v>
      </c>
      <c r="H135" s="3">
        <v>146172.3524</v>
      </c>
      <c r="I135" s="6">
        <v>0.14617235200000001</v>
      </c>
      <c r="J135" s="4" t="s">
        <v>214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</row>
    <row r="136" spans="1:93" s="4" customFormat="1" x14ac:dyDescent="0.35">
      <c r="A136" s="4" t="s">
        <v>8</v>
      </c>
      <c r="C136" s="4" t="s">
        <v>151</v>
      </c>
      <c r="D136" s="4">
        <v>7</v>
      </c>
      <c r="E136" s="3">
        <v>248.41</v>
      </c>
      <c r="F136" s="3">
        <v>5851.647997</v>
      </c>
      <c r="G136" s="6">
        <f t="shared" si="8"/>
        <v>58516.47997</v>
      </c>
      <c r="H136" s="3">
        <v>310578.22080000001</v>
      </c>
      <c r="I136" s="6">
        <v>0.31057822099999999</v>
      </c>
      <c r="J136" s="4" t="s">
        <v>214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</row>
    <row r="137" spans="1:93" s="4" customFormat="1" x14ac:dyDescent="0.35">
      <c r="A137" s="4" t="s">
        <v>8</v>
      </c>
      <c r="C137" s="4" t="s">
        <v>152</v>
      </c>
      <c r="D137" s="4">
        <v>7</v>
      </c>
      <c r="E137" s="3">
        <v>326.59000099999997</v>
      </c>
      <c r="F137" s="3">
        <v>11377.499</v>
      </c>
      <c r="G137" s="6">
        <f t="shared" si="8"/>
        <v>113774.98999999999</v>
      </c>
      <c r="H137" s="3">
        <v>770817.50170000002</v>
      </c>
      <c r="I137" s="6">
        <v>0.77081750199999999</v>
      </c>
      <c r="J137" s="4" t="s">
        <v>214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</row>
    <row r="138" spans="1:93" s="4" customFormat="1" x14ac:dyDescent="0.35">
      <c r="A138" s="4" t="s">
        <v>8</v>
      </c>
      <c r="C138" s="4" t="s">
        <v>153</v>
      </c>
      <c r="D138" s="4">
        <v>7</v>
      </c>
      <c r="E138" s="3">
        <v>1271.139999</v>
      </c>
      <c r="F138" s="3">
        <v>47784.28602</v>
      </c>
      <c r="G138" s="6">
        <f t="shared" si="8"/>
        <v>477842.8602</v>
      </c>
      <c r="H138" s="3">
        <v>3454099.2429999998</v>
      </c>
      <c r="I138" s="6">
        <v>3.4540992429999999</v>
      </c>
      <c r="J138" s="4" t="s">
        <v>214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</row>
    <row r="139" spans="1:93" s="4" customFormat="1" x14ac:dyDescent="0.35">
      <c r="A139" s="4" t="s">
        <v>8</v>
      </c>
      <c r="C139" s="4" t="s">
        <v>154</v>
      </c>
      <c r="D139" s="4">
        <v>7</v>
      </c>
      <c r="E139" s="3">
        <v>1010.010003</v>
      </c>
      <c r="F139" s="3">
        <v>33478.728920000001</v>
      </c>
      <c r="G139" s="6">
        <f t="shared" si="8"/>
        <v>334787.2892</v>
      </c>
      <c r="H139" s="3">
        <v>2258060.3169999998</v>
      </c>
      <c r="I139" s="6">
        <v>2.258060317</v>
      </c>
      <c r="J139" s="4" t="s">
        <v>214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</row>
    <row r="140" spans="1:93" s="4" customFormat="1" x14ac:dyDescent="0.35">
      <c r="A140" s="4" t="s">
        <v>8</v>
      </c>
      <c r="C140" s="4" t="s">
        <v>156</v>
      </c>
      <c r="D140" s="4">
        <v>7</v>
      </c>
      <c r="E140" s="3">
        <v>947.67</v>
      </c>
      <c r="F140" s="3">
        <v>25314.578079999999</v>
      </c>
      <c r="G140" s="6">
        <f t="shared" si="8"/>
        <v>253145.78079999998</v>
      </c>
      <c r="H140" s="3">
        <v>1483246.673</v>
      </c>
      <c r="I140" s="6">
        <v>1.483246673</v>
      </c>
      <c r="J140" s="4" t="s">
        <v>214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</row>
    <row r="141" spans="1:93" s="4" customFormat="1" x14ac:dyDescent="0.35">
      <c r="A141" s="4" t="s">
        <v>8</v>
      </c>
      <c r="C141" s="4" t="s">
        <v>163</v>
      </c>
      <c r="D141" s="4">
        <v>7</v>
      </c>
      <c r="E141" s="3">
        <v>657.82000200000004</v>
      </c>
      <c r="F141" s="3">
        <v>24912.48201</v>
      </c>
      <c r="G141" s="6">
        <f t="shared" si="8"/>
        <v>249124.82009999998</v>
      </c>
      <c r="H141" s="3">
        <v>1803070.9</v>
      </c>
      <c r="I141" s="6">
        <v>1.8030709</v>
      </c>
      <c r="J141" s="4" t="s">
        <v>214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</row>
    <row r="142" spans="1:93" s="4" customFormat="1" x14ac:dyDescent="0.35">
      <c r="A142" s="4" t="s">
        <v>3</v>
      </c>
      <c r="C142" s="4" t="s">
        <v>165</v>
      </c>
      <c r="D142" s="4">
        <v>7</v>
      </c>
      <c r="E142" s="3">
        <v>124.820001</v>
      </c>
      <c r="F142" s="3">
        <v>2928.714007</v>
      </c>
      <c r="G142" s="6">
        <f t="shared" si="8"/>
        <v>29287.140069999998</v>
      </c>
      <c r="H142" s="3">
        <v>155169.5814</v>
      </c>
      <c r="I142" s="6">
        <v>0.155169581</v>
      </c>
      <c r="J142" s="4" t="s">
        <v>214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</row>
    <row r="143" spans="1:93" s="4" customFormat="1" x14ac:dyDescent="0.35">
      <c r="A143" s="4" t="s">
        <v>8</v>
      </c>
      <c r="C143" s="4" t="s">
        <v>168</v>
      </c>
      <c r="D143" s="4">
        <v>7</v>
      </c>
      <c r="E143" s="3">
        <v>458.38999699999999</v>
      </c>
      <c r="F143" s="3">
        <v>9451.0889939999997</v>
      </c>
      <c r="G143" s="6">
        <f t="shared" si="8"/>
        <v>94510.889939999994</v>
      </c>
      <c r="H143" s="3">
        <v>464757.53240000003</v>
      </c>
      <c r="I143" s="6">
        <v>0.46475753199999997</v>
      </c>
      <c r="J143" s="4" t="s">
        <v>214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</row>
    <row r="144" spans="1:93" s="4" customFormat="1" x14ac:dyDescent="0.35">
      <c r="A144" s="4" t="s">
        <v>144</v>
      </c>
      <c r="C144" s="4" t="s">
        <v>171</v>
      </c>
      <c r="D144" s="4">
        <v>7</v>
      </c>
      <c r="E144" s="3">
        <v>1165.630003</v>
      </c>
      <c r="F144" s="3">
        <v>39665.124960000001</v>
      </c>
      <c r="G144" s="6">
        <f t="shared" si="8"/>
        <v>396651.24959999998</v>
      </c>
      <c r="H144" s="3">
        <v>2713271.3089999999</v>
      </c>
      <c r="I144" s="6">
        <v>2.713271309</v>
      </c>
      <c r="J144" s="4" t="s">
        <v>214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</row>
    <row r="145" spans="1:93" s="4" customFormat="1" x14ac:dyDescent="0.35">
      <c r="A145" s="4" t="s">
        <v>8</v>
      </c>
      <c r="C145" s="4" t="s">
        <v>173</v>
      </c>
      <c r="D145" s="4">
        <v>7</v>
      </c>
      <c r="E145" s="3">
        <v>275.06</v>
      </c>
      <c r="F145" s="3">
        <v>7845.2470149999999</v>
      </c>
      <c r="G145" s="6">
        <f t="shared" si="8"/>
        <v>78452.470149999994</v>
      </c>
      <c r="H145" s="3">
        <v>469116.984</v>
      </c>
      <c r="I145" s="6">
        <v>0.46911698400000001</v>
      </c>
      <c r="J145" s="4" t="s">
        <v>214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</row>
    <row r="146" spans="1:93" s="4" customFormat="1" x14ac:dyDescent="0.35">
      <c r="A146" s="4" t="s">
        <v>174</v>
      </c>
      <c r="C146" s="4" t="s">
        <v>178</v>
      </c>
      <c r="D146" s="4">
        <v>7</v>
      </c>
      <c r="E146" s="3">
        <v>266.28000200000002</v>
      </c>
      <c r="F146" s="3">
        <v>5820.3679780000002</v>
      </c>
      <c r="G146" s="6">
        <f t="shared" si="8"/>
        <v>58203.679779999999</v>
      </c>
      <c r="H146" s="3">
        <v>294749.40419999999</v>
      </c>
      <c r="I146" s="6">
        <v>0.29474940399999999</v>
      </c>
      <c r="J146" s="4" t="s">
        <v>214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</row>
    <row r="147" spans="1:93" s="4" customFormat="1" x14ac:dyDescent="0.35">
      <c r="A147" s="4" t="s">
        <v>8</v>
      </c>
      <c r="C147" s="4" t="s">
        <v>160</v>
      </c>
      <c r="D147" s="4">
        <v>7</v>
      </c>
      <c r="E147" s="3">
        <v>248.86000200000001</v>
      </c>
      <c r="F147" s="3">
        <v>7280.2619869999999</v>
      </c>
      <c r="G147" s="6">
        <f t="shared" si="8"/>
        <v>72802.619869999995</v>
      </c>
      <c r="H147" s="3">
        <v>441862.61080000002</v>
      </c>
      <c r="I147" s="6">
        <v>0.44186261100000002</v>
      </c>
      <c r="J147" s="4" t="s">
        <v>214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</row>
    <row r="148" spans="1:93" s="4" customFormat="1" x14ac:dyDescent="0.35">
      <c r="A148" s="4" t="s">
        <v>8</v>
      </c>
      <c r="C148" s="4" t="s">
        <v>182</v>
      </c>
      <c r="D148" s="4">
        <v>7</v>
      </c>
      <c r="E148" s="3">
        <v>89.08</v>
      </c>
      <c r="F148" s="3">
        <v>2539.9879989999999</v>
      </c>
      <c r="G148" s="6">
        <f t="shared" si="8"/>
        <v>25399.879989999998</v>
      </c>
      <c r="H148" s="3">
        <v>151666.88089999999</v>
      </c>
      <c r="I148" s="6">
        <v>0.151666881</v>
      </c>
      <c r="J148" s="4" t="s">
        <v>214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</row>
    <row r="149" spans="1:93" s="4" customFormat="1" x14ac:dyDescent="0.35">
      <c r="A149" s="4" t="s">
        <v>144</v>
      </c>
      <c r="C149" s="4" t="s">
        <v>145</v>
      </c>
      <c r="D149" s="4">
        <v>6</v>
      </c>
      <c r="E149" s="3">
        <v>155.620002</v>
      </c>
      <c r="F149" s="3">
        <v>1522.127999</v>
      </c>
      <c r="G149" s="6">
        <f t="shared" si="8"/>
        <v>15221.279989999999</v>
      </c>
      <c r="H149" s="3">
        <v>47185.867769999997</v>
      </c>
      <c r="I149" s="6">
        <v>4.7185867999999999E-2</v>
      </c>
      <c r="J149" s="4" t="s">
        <v>214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</row>
    <row r="150" spans="1:93" s="4" customFormat="1" x14ac:dyDescent="0.35">
      <c r="A150" s="4" t="s">
        <v>8</v>
      </c>
      <c r="C150" s="4" t="s">
        <v>146</v>
      </c>
      <c r="D150" s="4">
        <v>6</v>
      </c>
      <c r="E150" s="3">
        <v>166.82000099999999</v>
      </c>
      <c r="F150" s="3">
        <v>2738.3339879999999</v>
      </c>
      <c r="G150" s="6">
        <f t="shared" si="8"/>
        <v>27383.339879999996</v>
      </c>
      <c r="H150" s="3">
        <v>116972.8211</v>
      </c>
      <c r="I150" s="6">
        <v>0.116972821</v>
      </c>
      <c r="J150" s="4" t="s">
        <v>214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</row>
    <row r="151" spans="1:93" s="4" customFormat="1" x14ac:dyDescent="0.35">
      <c r="A151" s="4" t="s">
        <v>8</v>
      </c>
      <c r="C151" s="4" t="s">
        <v>147</v>
      </c>
      <c r="D151" s="4">
        <v>6</v>
      </c>
      <c r="E151" s="3">
        <v>173.370001</v>
      </c>
      <c r="F151" s="3">
        <v>1748.326008</v>
      </c>
      <c r="G151" s="6">
        <f t="shared" si="8"/>
        <v>17483.26008</v>
      </c>
      <c r="H151" s="3">
        <v>54593.602330000002</v>
      </c>
      <c r="I151" s="6">
        <v>5.4593601999999998E-2</v>
      </c>
      <c r="J151" s="4" t="s">
        <v>214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</row>
    <row r="152" spans="1:93" s="4" customFormat="1" x14ac:dyDescent="0.35">
      <c r="A152" s="4" t="s">
        <v>8</v>
      </c>
      <c r="C152" s="4" t="s">
        <v>151</v>
      </c>
      <c r="D152" s="4">
        <v>6</v>
      </c>
      <c r="E152" s="3">
        <v>541.61</v>
      </c>
      <c r="F152" s="3">
        <v>7016.7469680000004</v>
      </c>
      <c r="G152" s="6">
        <f t="shared" si="8"/>
        <v>70167.469679999995</v>
      </c>
      <c r="H152" s="3">
        <v>259065.63750000001</v>
      </c>
      <c r="I152" s="6">
        <v>0.25906563799999999</v>
      </c>
      <c r="J152" s="4" t="s">
        <v>214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</row>
    <row r="153" spans="1:93" s="4" customFormat="1" x14ac:dyDescent="0.35">
      <c r="A153" s="4" t="s">
        <v>8</v>
      </c>
      <c r="C153" s="4" t="s">
        <v>152</v>
      </c>
      <c r="D153" s="4">
        <v>6</v>
      </c>
      <c r="E153" s="3">
        <v>256.53000200000002</v>
      </c>
      <c r="F153" s="3">
        <v>6086.3719970000002</v>
      </c>
      <c r="G153" s="6">
        <f t="shared" si="8"/>
        <v>60863.719969999998</v>
      </c>
      <c r="H153" s="3">
        <v>325448.48389999999</v>
      </c>
      <c r="I153" s="6">
        <v>0.32544848399999998</v>
      </c>
      <c r="J153" s="4" t="s">
        <v>214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</row>
    <row r="154" spans="1:93" s="4" customFormat="1" x14ac:dyDescent="0.35">
      <c r="A154" s="4" t="s">
        <v>8</v>
      </c>
      <c r="C154" s="4" t="s">
        <v>153</v>
      </c>
      <c r="D154" s="4">
        <v>6</v>
      </c>
      <c r="E154" s="3">
        <v>198.07999899999999</v>
      </c>
      <c r="F154" s="3">
        <v>2933.5059919999999</v>
      </c>
      <c r="G154" s="6">
        <f t="shared" si="8"/>
        <v>29335.059919999996</v>
      </c>
      <c r="H154" s="3">
        <v>117152.0603</v>
      </c>
      <c r="I154" s="6">
        <v>0.11715206</v>
      </c>
      <c r="J154" s="4" t="s">
        <v>214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</row>
    <row r="155" spans="1:93" s="4" customFormat="1" x14ac:dyDescent="0.35">
      <c r="A155" s="4" t="s">
        <v>8</v>
      </c>
      <c r="C155" s="4" t="s">
        <v>154</v>
      </c>
      <c r="D155" s="4">
        <v>6</v>
      </c>
      <c r="E155" s="3">
        <v>405.259998</v>
      </c>
      <c r="F155" s="3">
        <v>5968.8080110000001</v>
      </c>
      <c r="G155" s="6">
        <f t="shared" si="8"/>
        <v>59688.080109999995</v>
      </c>
      <c r="H155" s="3">
        <v>243749.4768</v>
      </c>
      <c r="I155" s="6">
        <v>0.24374947699999999</v>
      </c>
      <c r="J155" s="4" t="s">
        <v>214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</row>
    <row r="156" spans="1:93" s="4" customFormat="1" x14ac:dyDescent="0.35">
      <c r="A156" s="4" t="s">
        <v>8</v>
      </c>
      <c r="C156" s="4" t="s">
        <v>156</v>
      </c>
      <c r="D156" s="4">
        <v>6</v>
      </c>
      <c r="E156" s="3">
        <v>182.79</v>
      </c>
      <c r="F156" s="3">
        <v>1793.783995</v>
      </c>
      <c r="G156" s="6">
        <f t="shared" si="8"/>
        <v>17937.839949999998</v>
      </c>
      <c r="H156" s="3">
        <v>55545.336909999998</v>
      </c>
      <c r="I156" s="6">
        <v>5.5545337E-2</v>
      </c>
      <c r="J156" s="4" t="s">
        <v>214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</row>
    <row r="157" spans="1:93" s="4" customFormat="1" x14ac:dyDescent="0.35">
      <c r="A157" s="4" t="s">
        <v>8</v>
      </c>
      <c r="C157" s="4" t="s">
        <v>157</v>
      </c>
      <c r="D157" s="4">
        <v>6</v>
      </c>
      <c r="E157" s="3">
        <v>23.43</v>
      </c>
      <c r="F157" s="3">
        <v>327.52199899999999</v>
      </c>
      <c r="G157" s="6">
        <f t="shared" si="8"/>
        <v>3275.2199899999996</v>
      </c>
      <c r="H157" s="3">
        <v>12579.362950000001</v>
      </c>
      <c r="I157" s="6">
        <v>1.2579363E-2</v>
      </c>
      <c r="J157" s="4" t="s">
        <v>214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</row>
    <row r="158" spans="1:93" s="4" customFormat="1" x14ac:dyDescent="0.35">
      <c r="A158" s="4" t="s">
        <v>8</v>
      </c>
      <c r="C158" s="4" t="s">
        <v>162</v>
      </c>
      <c r="D158" s="4">
        <v>6</v>
      </c>
      <c r="E158" s="3">
        <v>166.090001</v>
      </c>
      <c r="F158" s="3">
        <v>1733.4689940000001</v>
      </c>
      <c r="G158" s="6">
        <f t="shared" si="8"/>
        <v>17334.68994</v>
      </c>
      <c r="H158" s="3">
        <v>54896.335270000003</v>
      </c>
      <c r="I158" s="6">
        <v>5.4896334999999997E-2</v>
      </c>
      <c r="J158" s="4" t="s">
        <v>214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</row>
    <row r="159" spans="1:93" s="4" customFormat="1" x14ac:dyDescent="0.35">
      <c r="A159" s="4" t="s">
        <v>8</v>
      </c>
      <c r="C159" s="4" t="s">
        <v>163</v>
      </c>
      <c r="D159" s="4">
        <v>6</v>
      </c>
      <c r="E159" s="3">
        <v>70.979999000000007</v>
      </c>
      <c r="F159" s="3">
        <v>1271.8309899999999</v>
      </c>
      <c r="G159" s="6">
        <f t="shared" si="8"/>
        <v>12718.309899999998</v>
      </c>
      <c r="H159" s="3">
        <v>56586.298920000001</v>
      </c>
      <c r="I159" s="6">
        <v>5.6586299E-2</v>
      </c>
      <c r="J159" s="4" t="s">
        <v>214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</row>
    <row r="160" spans="1:93" s="4" customFormat="1" x14ac:dyDescent="0.35">
      <c r="A160" s="4" t="s">
        <v>144</v>
      </c>
      <c r="C160" s="4" t="s">
        <v>166</v>
      </c>
      <c r="D160" s="4">
        <v>6</v>
      </c>
      <c r="E160" s="3">
        <v>88.47</v>
      </c>
      <c r="F160" s="3">
        <v>1300.8359989999999</v>
      </c>
      <c r="G160" s="6">
        <f t="shared" si="8"/>
        <v>13008.359989999999</v>
      </c>
      <c r="H160" s="3">
        <v>51856.704769999997</v>
      </c>
      <c r="I160" s="6">
        <v>5.1856705000000003E-2</v>
      </c>
      <c r="J160" s="4" t="s">
        <v>214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</row>
    <row r="161" spans="1:93" s="4" customFormat="1" x14ac:dyDescent="0.35">
      <c r="A161" s="4" t="s">
        <v>8</v>
      </c>
      <c r="C161" s="4" t="s">
        <v>167</v>
      </c>
      <c r="D161" s="4">
        <v>6</v>
      </c>
      <c r="E161" s="3">
        <v>842.02000199999998</v>
      </c>
      <c r="F161" s="3">
        <v>15734.98804</v>
      </c>
      <c r="G161" s="6">
        <f t="shared" si="8"/>
        <v>157349.88039999999</v>
      </c>
      <c r="H161" s="3">
        <v>744512.91630000004</v>
      </c>
      <c r="I161" s="6">
        <v>0.74451291600000002</v>
      </c>
      <c r="J161" s="4" t="s">
        <v>214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</row>
    <row r="162" spans="1:93" s="4" customFormat="1" x14ac:dyDescent="0.35">
      <c r="A162" s="4" t="s">
        <v>8</v>
      </c>
      <c r="C162" s="4" t="s">
        <v>168</v>
      </c>
      <c r="D162" s="4">
        <v>6</v>
      </c>
      <c r="E162" s="3">
        <v>184.13999899999999</v>
      </c>
      <c r="F162" s="3">
        <v>1209.0339980000001</v>
      </c>
      <c r="G162" s="6">
        <f t="shared" si="8"/>
        <v>12090.339980000001</v>
      </c>
      <c r="H162" s="3">
        <v>28883.212100000001</v>
      </c>
      <c r="I162" s="6">
        <v>2.8883211999999998E-2</v>
      </c>
      <c r="J162" s="4" t="s">
        <v>214</v>
      </c>
    </row>
    <row r="163" spans="1:93" s="4" customFormat="1" x14ac:dyDescent="0.35">
      <c r="A163" s="4" t="s">
        <v>8</v>
      </c>
      <c r="C163" s="4" t="s">
        <v>169</v>
      </c>
      <c r="D163" s="4">
        <v>6</v>
      </c>
      <c r="E163" s="3">
        <v>77.31</v>
      </c>
      <c r="F163" s="3">
        <v>371.45400100000001</v>
      </c>
      <c r="G163" s="6">
        <f t="shared" si="8"/>
        <v>3714.5400099999997</v>
      </c>
      <c r="H163" s="3">
        <v>7207.0039900000002</v>
      </c>
      <c r="I163" s="6">
        <v>7.2070040000000004E-3</v>
      </c>
      <c r="J163" s="4" t="s">
        <v>214</v>
      </c>
    </row>
    <row r="164" spans="1:93" s="4" customFormat="1" x14ac:dyDescent="0.35">
      <c r="A164" s="4" t="s">
        <v>8</v>
      </c>
      <c r="C164" s="4" t="s">
        <v>170</v>
      </c>
      <c r="D164" s="4">
        <v>6</v>
      </c>
      <c r="E164" s="3">
        <v>716.93000400000005</v>
      </c>
      <c r="F164" s="3">
        <v>13588.537990000001</v>
      </c>
      <c r="G164" s="6">
        <f t="shared" si="8"/>
        <v>135885.3799</v>
      </c>
      <c r="H164" s="3">
        <v>649438.05130000005</v>
      </c>
      <c r="I164" s="6">
        <v>0.64943805099999996</v>
      </c>
      <c r="J164" s="4" t="s">
        <v>214</v>
      </c>
    </row>
    <row r="165" spans="1:93" s="4" customFormat="1" x14ac:dyDescent="0.35">
      <c r="A165" s="4" t="s">
        <v>144</v>
      </c>
      <c r="C165" s="4" t="s">
        <v>171</v>
      </c>
      <c r="D165" s="4">
        <v>6</v>
      </c>
      <c r="E165" s="3">
        <v>304.66000100000002</v>
      </c>
      <c r="F165" s="3">
        <v>4282.3139929999998</v>
      </c>
      <c r="G165" s="6">
        <f t="shared" si="8"/>
        <v>42823.139929999998</v>
      </c>
      <c r="H165" s="3">
        <v>167262.87969999999</v>
      </c>
      <c r="I165" s="6">
        <v>0.16726288</v>
      </c>
      <c r="J165" s="4" t="s">
        <v>214</v>
      </c>
    </row>
    <row r="166" spans="1:93" s="4" customFormat="1" x14ac:dyDescent="0.35">
      <c r="A166" s="4" t="s">
        <v>8</v>
      </c>
      <c r="C166" s="4" t="s">
        <v>172</v>
      </c>
      <c r="D166" s="4">
        <v>6</v>
      </c>
      <c r="E166" s="3">
        <v>347.379999</v>
      </c>
      <c r="F166" s="3">
        <v>6002.9429920000002</v>
      </c>
      <c r="G166" s="6">
        <f t="shared" si="8"/>
        <v>60029.429920000002</v>
      </c>
      <c r="H166" s="3">
        <v>261771.88159999999</v>
      </c>
      <c r="I166" s="6">
        <v>0.26177188200000001</v>
      </c>
      <c r="J166" s="4" t="s">
        <v>214</v>
      </c>
    </row>
    <row r="167" spans="1:93" s="4" customFormat="1" x14ac:dyDescent="0.35">
      <c r="A167" s="4" t="s">
        <v>8</v>
      </c>
      <c r="C167" s="4" t="s">
        <v>173</v>
      </c>
      <c r="D167" s="4">
        <v>6</v>
      </c>
      <c r="E167" s="3">
        <v>242.34</v>
      </c>
      <c r="F167" s="3">
        <v>3335.9020110000001</v>
      </c>
      <c r="G167" s="6">
        <f t="shared" si="8"/>
        <v>33359.020109999998</v>
      </c>
      <c r="H167" s="3">
        <v>130750.70600000001</v>
      </c>
      <c r="I167" s="6">
        <v>0.13075070599999999</v>
      </c>
      <c r="J167" s="4" t="s">
        <v>214</v>
      </c>
    </row>
    <row r="168" spans="1:93" s="4" customFormat="1" x14ac:dyDescent="0.35">
      <c r="A168" s="4" t="s">
        <v>8</v>
      </c>
      <c r="C168" s="4" t="s">
        <v>177</v>
      </c>
      <c r="D168" s="4">
        <v>6</v>
      </c>
      <c r="E168" s="3">
        <v>122.61</v>
      </c>
      <c r="F168" s="3">
        <v>967.00699799999995</v>
      </c>
      <c r="G168" s="6">
        <f t="shared" si="8"/>
        <v>9670.0699799999984</v>
      </c>
      <c r="H168" s="3">
        <v>25743.502980000001</v>
      </c>
      <c r="I168" s="6">
        <v>2.5743503000000001E-2</v>
      </c>
      <c r="J168" s="4" t="s">
        <v>214</v>
      </c>
    </row>
    <row r="169" spans="1:93" s="4" customFormat="1" x14ac:dyDescent="0.35">
      <c r="A169" s="4" t="s">
        <v>8</v>
      </c>
      <c r="C169" s="4" t="s">
        <v>179</v>
      </c>
      <c r="D169" s="4">
        <v>6</v>
      </c>
      <c r="E169" s="3">
        <v>351.09000099999997</v>
      </c>
      <c r="F169" s="3">
        <v>6186.1440060000004</v>
      </c>
      <c r="G169" s="6">
        <f t="shared" si="8"/>
        <v>61861.440060000001</v>
      </c>
      <c r="H169" s="3">
        <v>277980.98580000002</v>
      </c>
      <c r="I169" s="6">
        <v>0.27798098599999999</v>
      </c>
      <c r="J169" s="4" t="s">
        <v>214</v>
      </c>
    </row>
    <row r="170" spans="1:93" s="4" customFormat="1" x14ac:dyDescent="0.35">
      <c r="A170" s="4" t="s">
        <v>8</v>
      </c>
      <c r="C170" s="4" t="s">
        <v>180</v>
      </c>
      <c r="D170" s="4">
        <v>6</v>
      </c>
      <c r="E170" s="3">
        <v>297.120001</v>
      </c>
      <c r="F170" s="3">
        <v>5200.8349959999996</v>
      </c>
      <c r="G170" s="6">
        <f t="shared" si="8"/>
        <v>52008.349959999992</v>
      </c>
      <c r="H170" s="3">
        <v>231244.25810000001</v>
      </c>
      <c r="I170" s="6">
        <v>0.23124425800000001</v>
      </c>
      <c r="J170" s="4" t="s">
        <v>214</v>
      </c>
    </row>
    <row r="171" spans="1:93" s="4" customFormat="1" x14ac:dyDescent="0.35">
      <c r="A171" s="4" t="s">
        <v>8</v>
      </c>
      <c r="C171" s="4" t="s">
        <v>184</v>
      </c>
      <c r="D171" s="4">
        <v>6</v>
      </c>
      <c r="E171" s="3">
        <v>716.40000699999996</v>
      </c>
      <c r="F171" s="3">
        <v>8122.266971</v>
      </c>
      <c r="G171" s="6">
        <f t="shared" si="8"/>
        <v>81222.669710000002</v>
      </c>
      <c r="H171" s="3">
        <v>288125.33429999999</v>
      </c>
      <c r="I171" s="6">
        <v>0.28812533400000001</v>
      </c>
      <c r="J171" s="4" t="s">
        <v>214</v>
      </c>
    </row>
    <row r="172" spans="1:93" s="4" customFormat="1" x14ac:dyDescent="0.35">
      <c r="A172" s="4" t="s">
        <v>144</v>
      </c>
      <c r="C172" s="4" t="s">
        <v>185</v>
      </c>
      <c r="D172" s="4">
        <v>6</v>
      </c>
      <c r="E172" s="3">
        <v>1001.450002</v>
      </c>
      <c r="F172" s="3">
        <v>20621.058010000001</v>
      </c>
      <c r="G172" s="6">
        <f t="shared" si="8"/>
        <v>206210.58009999999</v>
      </c>
      <c r="H172" s="3">
        <v>1068818.122</v>
      </c>
      <c r="I172" s="6">
        <v>1.0688181219999999</v>
      </c>
      <c r="J172" s="4" t="s">
        <v>214</v>
      </c>
    </row>
    <row r="173" spans="1:93" s="4" customFormat="1" x14ac:dyDescent="0.35">
      <c r="A173" s="4" t="s">
        <v>144</v>
      </c>
      <c r="C173" s="4" t="s">
        <v>186</v>
      </c>
      <c r="D173" s="4">
        <v>6</v>
      </c>
      <c r="E173" s="3">
        <v>123.849999</v>
      </c>
      <c r="F173" s="3">
        <v>1566.655</v>
      </c>
      <c r="G173" s="6">
        <f t="shared" si="8"/>
        <v>15666.55</v>
      </c>
      <c r="H173" s="3">
        <v>58667.90079</v>
      </c>
      <c r="I173" s="6">
        <v>5.8667901000000001E-2</v>
      </c>
      <c r="J173" s="4" t="s">
        <v>214</v>
      </c>
    </row>
    <row r="174" spans="1:93" s="4" customFormat="1" x14ac:dyDescent="0.35">
      <c r="A174" s="4" t="s">
        <v>174</v>
      </c>
      <c r="C174" s="4" t="s">
        <v>193</v>
      </c>
      <c r="D174" s="4">
        <v>6</v>
      </c>
      <c r="E174" s="3">
        <v>25.74</v>
      </c>
      <c r="F174" s="3">
        <v>244.58599699999999</v>
      </c>
      <c r="G174" s="6">
        <f t="shared" ref="G174:G228" si="9">F174/0.1</f>
        <v>2445.85997</v>
      </c>
      <c r="H174" s="3">
        <v>7274.9719699999996</v>
      </c>
      <c r="I174" s="6">
        <v>7.2749720000000002E-3</v>
      </c>
      <c r="J174" s="4" t="s">
        <v>214</v>
      </c>
    </row>
    <row r="175" spans="1:93" s="4" customFormat="1" x14ac:dyDescent="0.35">
      <c r="A175" s="4" t="s">
        <v>8</v>
      </c>
      <c r="C175" s="4" t="s">
        <v>158</v>
      </c>
      <c r="D175" s="4">
        <v>6</v>
      </c>
      <c r="E175" s="3">
        <v>920.20000100000004</v>
      </c>
      <c r="F175" s="3">
        <v>6705.8090169999996</v>
      </c>
      <c r="G175" s="6">
        <f t="shared" si="9"/>
        <v>67058.090169999996</v>
      </c>
      <c r="H175" s="3">
        <v>171317.91380000001</v>
      </c>
      <c r="I175" s="6">
        <v>0.17131791399999999</v>
      </c>
      <c r="J175" s="4" t="s">
        <v>214</v>
      </c>
    </row>
    <row r="176" spans="1:93" s="4" customFormat="1" x14ac:dyDescent="0.35">
      <c r="A176" s="4" t="s">
        <v>8</v>
      </c>
      <c r="C176" s="4" t="s">
        <v>202</v>
      </c>
      <c r="D176" s="4">
        <v>6</v>
      </c>
      <c r="E176" s="3">
        <v>587.95000300000004</v>
      </c>
      <c r="F176" s="3">
        <v>10626.507</v>
      </c>
      <c r="G176" s="6">
        <f t="shared" si="9"/>
        <v>106265.06999999999</v>
      </c>
      <c r="H176" s="3">
        <v>488388.7378</v>
      </c>
      <c r="I176" s="6">
        <v>0.48838873799999999</v>
      </c>
      <c r="J176" s="4" t="s">
        <v>214</v>
      </c>
    </row>
    <row r="177" spans="1:10" s="4" customFormat="1" x14ac:dyDescent="0.35">
      <c r="A177" s="4" t="s">
        <v>8</v>
      </c>
      <c r="C177" s="4" t="s">
        <v>181</v>
      </c>
      <c r="D177" s="4">
        <v>6</v>
      </c>
      <c r="E177" s="3">
        <v>198.58000200000001</v>
      </c>
      <c r="F177" s="3">
        <v>2575.5729980000001</v>
      </c>
      <c r="G177" s="6">
        <f t="shared" si="9"/>
        <v>25755.72998</v>
      </c>
      <c r="H177" s="3">
        <v>93823.748980000004</v>
      </c>
      <c r="I177" s="6">
        <v>9.3823748999999998E-2</v>
      </c>
      <c r="J177" s="4" t="s">
        <v>214</v>
      </c>
    </row>
    <row r="178" spans="1:10" s="4" customFormat="1" x14ac:dyDescent="0.35">
      <c r="A178" s="4" t="s">
        <v>144</v>
      </c>
      <c r="C178" s="4" t="s">
        <v>161</v>
      </c>
      <c r="D178" s="4">
        <v>6</v>
      </c>
      <c r="E178" s="3">
        <v>98.87</v>
      </c>
      <c r="F178" s="3">
        <v>1418.3000050000001</v>
      </c>
      <c r="G178" s="6">
        <f t="shared" si="9"/>
        <v>14183.000050000001</v>
      </c>
      <c r="H178" s="3">
        <v>55394.232210000002</v>
      </c>
      <c r="I178" s="6">
        <v>5.5394232000000002E-2</v>
      </c>
      <c r="J178" s="4" t="s">
        <v>214</v>
      </c>
    </row>
    <row r="179" spans="1:10" s="4" customFormat="1" x14ac:dyDescent="0.35">
      <c r="A179" s="4" t="s">
        <v>144</v>
      </c>
      <c r="C179" s="4" t="s">
        <v>145</v>
      </c>
      <c r="D179" s="4">
        <v>5</v>
      </c>
      <c r="E179" s="3">
        <v>105.320001</v>
      </c>
      <c r="F179" s="3">
        <v>502.781001</v>
      </c>
      <c r="G179" s="6">
        <f t="shared" si="9"/>
        <v>5027.8100100000001</v>
      </c>
      <c r="H179" s="3">
        <v>9929.8339809999998</v>
      </c>
      <c r="I179" s="6">
        <v>9.9298340000000002E-3</v>
      </c>
      <c r="J179" s="4" t="s">
        <v>214</v>
      </c>
    </row>
    <row r="180" spans="1:10" s="4" customFormat="1" x14ac:dyDescent="0.35">
      <c r="A180" s="4" t="s">
        <v>8</v>
      </c>
      <c r="C180" s="4" t="s">
        <v>146</v>
      </c>
      <c r="D180" s="4">
        <v>5</v>
      </c>
      <c r="E180" s="3">
        <v>194.32</v>
      </c>
      <c r="F180" s="3">
        <v>1655.298996</v>
      </c>
      <c r="G180" s="6">
        <f t="shared" si="9"/>
        <v>16552.989959999999</v>
      </c>
      <c r="H180" s="3">
        <v>47313.176930000001</v>
      </c>
      <c r="I180" s="6">
        <v>4.7313176999999998E-2</v>
      </c>
      <c r="J180" s="4" t="s">
        <v>214</v>
      </c>
    </row>
    <row r="181" spans="1:10" s="4" customFormat="1" x14ac:dyDescent="0.35">
      <c r="A181" s="4" t="s">
        <v>8</v>
      </c>
      <c r="C181" s="4" t="s">
        <v>147</v>
      </c>
      <c r="D181" s="4">
        <v>5</v>
      </c>
      <c r="E181" s="3">
        <v>61.329999000000001</v>
      </c>
      <c r="F181" s="3">
        <v>272.77600000000001</v>
      </c>
      <c r="G181" s="6">
        <f t="shared" si="9"/>
        <v>2727.7599999999998</v>
      </c>
      <c r="H181" s="3">
        <v>4967.1950070000003</v>
      </c>
      <c r="I181" s="6">
        <v>4.9671949999999998E-3</v>
      </c>
      <c r="J181" s="4" t="s">
        <v>214</v>
      </c>
    </row>
    <row r="182" spans="1:10" s="4" customFormat="1" x14ac:dyDescent="0.35">
      <c r="A182" s="4" t="s">
        <v>8</v>
      </c>
      <c r="C182" s="4" t="s">
        <v>151</v>
      </c>
      <c r="D182" s="4">
        <v>5</v>
      </c>
      <c r="E182" s="3">
        <v>138.46000100000001</v>
      </c>
      <c r="F182" s="3">
        <v>780.67199900000003</v>
      </c>
      <c r="G182" s="6">
        <f t="shared" si="9"/>
        <v>7806.7199899999996</v>
      </c>
      <c r="H182" s="3">
        <v>16570.529930000001</v>
      </c>
      <c r="I182" s="6">
        <v>1.657053E-2</v>
      </c>
      <c r="J182" s="4" t="s">
        <v>214</v>
      </c>
    </row>
    <row r="183" spans="1:10" s="4" customFormat="1" x14ac:dyDescent="0.35">
      <c r="A183" s="4" t="s">
        <v>8</v>
      </c>
      <c r="C183" s="4" t="s">
        <v>152</v>
      </c>
      <c r="D183" s="4">
        <v>5</v>
      </c>
      <c r="E183" s="3">
        <v>283.72000200000002</v>
      </c>
      <c r="F183" s="3">
        <v>2792.144002</v>
      </c>
      <c r="G183" s="6">
        <f t="shared" si="9"/>
        <v>27921.440019999998</v>
      </c>
      <c r="H183" s="3">
        <v>89691.605790000001</v>
      </c>
      <c r="I183" s="6">
        <v>8.9691605999999993E-2</v>
      </c>
      <c r="J183" s="4" t="s">
        <v>214</v>
      </c>
    </row>
    <row r="184" spans="1:10" s="4" customFormat="1" x14ac:dyDescent="0.35">
      <c r="A184" s="4" t="s">
        <v>8</v>
      </c>
      <c r="C184" s="4" t="s">
        <v>153</v>
      </c>
      <c r="D184" s="4">
        <v>5</v>
      </c>
      <c r="E184" s="3">
        <v>160.29</v>
      </c>
      <c r="F184" s="3">
        <v>1555.45299</v>
      </c>
      <c r="G184" s="6">
        <f t="shared" si="9"/>
        <v>15554.5299</v>
      </c>
      <c r="H184" s="3">
        <v>47615.607000000004</v>
      </c>
      <c r="I184" s="6">
        <v>4.7615606999999997E-2</v>
      </c>
      <c r="J184" s="4" t="s">
        <v>214</v>
      </c>
    </row>
    <row r="185" spans="1:10" s="4" customFormat="1" x14ac:dyDescent="0.35">
      <c r="A185" s="4" t="s">
        <v>8</v>
      </c>
      <c r="C185" s="4" t="s">
        <v>154</v>
      </c>
      <c r="D185" s="4">
        <v>5</v>
      </c>
      <c r="E185" s="3">
        <v>495.65</v>
      </c>
      <c r="F185" s="3">
        <v>4974.1950200000001</v>
      </c>
      <c r="G185" s="6">
        <f t="shared" si="9"/>
        <v>49741.950199999999</v>
      </c>
      <c r="H185" s="3">
        <v>158839.3015</v>
      </c>
      <c r="I185" s="6">
        <v>0.15883930199999999</v>
      </c>
      <c r="J185" s="4" t="s">
        <v>214</v>
      </c>
    </row>
    <row r="186" spans="1:10" s="4" customFormat="1" x14ac:dyDescent="0.35">
      <c r="A186" s="4" t="s">
        <v>8</v>
      </c>
      <c r="C186" s="4" t="s">
        <v>157</v>
      </c>
      <c r="D186" s="4">
        <v>5</v>
      </c>
      <c r="E186" s="3">
        <v>239.309999</v>
      </c>
      <c r="F186" s="3">
        <v>1873.560997</v>
      </c>
      <c r="G186" s="6">
        <f t="shared" si="9"/>
        <v>18735.609969999998</v>
      </c>
      <c r="H186" s="3">
        <v>53268.039109999998</v>
      </c>
      <c r="I186" s="6">
        <v>5.3268039000000003E-2</v>
      </c>
      <c r="J186" s="4" t="s">
        <v>214</v>
      </c>
    </row>
    <row r="187" spans="1:10" s="4" customFormat="1" x14ac:dyDescent="0.35">
      <c r="A187" s="4" t="s">
        <v>3</v>
      </c>
      <c r="C187" s="4" t="s">
        <v>3</v>
      </c>
      <c r="D187" s="4">
        <v>5</v>
      </c>
      <c r="E187" s="3">
        <v>122.960002</v>
      </c>
      <c r="F187" s="3">
        <v>612.66600200000005</v>
      </c>
      <c r="G187" s="6">
        <f t="shared" si="9"/>
        <v>6126.6600200000003</v>
      </c>
      <c r="H187" s="3">
        <v>12196.507949999999</v>
      </c>
      <c r="I187" s="6">
        <v>1.2196508E-2</v>
      </c>
      <c r="J187" s="4" t="s">
        <v>214</v>
      </c>
    </row>
    <row r="188" spans="1:10" s="4" customFormat="1" x14ac:dyDescent="0.35">
      <c r="A188" s="4" t="s">
        <v>8</v>
      </c>
      <c r="C188" s="4" t="s">
        <v>162</v>
      </c>
      <c r="D188" s="4">
        <v>5</v>
      </c>
      <c r="E188" s="3">
        <v>159.27000000000001</v>
      </c>
      <c r="F188" s="3">
        <v>745.875</v>
      </c>
      <c r="G188" s="6">
        <f t="shared" si="9"/>
        <v>7458.75</v>
      </c>
      <c r="H188" s="3">
        <v>14145.60799</v>
      </c>
      <c r="I188" s="6">
        <v>1.4145608E-2</v>
      </c>
      <c r="J188" s="4" t="s">
        <v>214</v>
      </c>
    </row>
    <row r="189" spans="1:10" s="4" customFormat="1" x14ac:dyDescent="0.35">
      <c r="A189" s="4" t="s">
        <v>8</v>
      </c>
      <c r="C189" s="4" t="s">
        <v>163</v>
      </c>
      <c r="D189" s="4">
        <v>5</v>
      </c>
      <c r="E189" s="3">
        <v>281.27999999999997</v>
      </c>
      <c r="F189" s="3">
        <v>2043.4380020000001</v>
      </c>
      <c r="G189" s="6">
        <f t="shared" si="9"/>
        <v>20434.380020000001</v>
      </c>
      <c r="H189" s="3">
        <v>55642.076820000002</v>
      </c>
      <c r="I189" s="6">
        <v>5.5642076999999998E-2</v>
      </c>
      <c r="J189" s="4" t="s">
        <v>214</v>
      </c>
    </row>
    <row r="190" spans="1:10" s="4" customFormat="1" x14ac:dyDescent="0.35">
      <c r="A190" s="4" t="s">
        <v>144</v>
      </c>
      <c r="C190" s="4" t="s">
        <v>164</v>
      </c>
      <c r="D190" s="4">
        <v>5</v>
      </c>
      <c r="E190" s="3">
        <v>89.31</v>
      </c>
      <c r="F190" s="3">
        <v>295.77700099999998</v>
      </c>
      <c r="G190" s="6">
        <f t="shared" si="9"/>
        <v>2957.7700099999997</v>
      </c>
      <c r="H190" s="3">
        <v>4393.3080330000003</v>
      </c>
      <c r="I190" s="6">
        <v>4.3933080000000003E-3</v>
      </c>
      <c r="J190" s="4" t="s">
        <v>214</v>
      </c>
    </row>
    <row r="191" spans="1:10" s="4" customFormat="1" x14ac:dyDescent="0.35">
      <c r="A191" s="4" t="s">
        <v>3</v>
      </c>
      <c r="C191" s="4" t="s">
        <v>165</v>
      </c>
      <c r="D191" s="4">
        <v>5</v>
      </c>
      <c r="E191" s="3">
        <v>320.36000100000001</v>
      </c>
      <c r="F191" s="3">
        <v>2727.502</v>
      </c>
      <c r="G191" s="6">
        <f t="shared" si="9"/>
        <v>27275.019999999997</v>
      </c>
      <c r="H191" s="3">
        <v>79014.946169999996</v>
      </c>
      <c r="I191" s="6">
        <v>7.9014946000000003E-2</v>
      </c>
      <c r="J191" s="4" t="s">
        <v>214</v>
      </c>
    </row>
    <row r="192" spans="1:10" s="4" customFormat="1" x14ac:dyDescent="0.35">
      <c r="A192" s="4" t="s">
        <v>144</v>
      </c>
      <c r="C192" s="4" t="s">
        <v>166</v>
      </c>
      <c r="D192" s="4">
        <v>5</v>
      </c>
      <c r="E192" s="3">
        <v>160.28</v>
      </c>
      <c r="F192" s="3">
        <v>898.10699499999998</v>
      </c>
      <c r="G192" s="6">
        <f t="shared" si="9"/>
        <v>8981.0699499999992</v>
      </c>
      <c r="H192" s="3">
        <v>19902.668020000001</v>
      </c>
      <c r="I192" s="6">
        <v>1.9902667999999998E-2</v>
      </c>
      <c r="J192" s="4" t="s">
        <v>214</v>
      </c>
    </row>
    <row r="193" spans="1:10" s="4" customFormat="1" x14ac:dyDescent="0.35">
      <c r="A193" s="4" t="s">
        <v>8</v>
      </c>
      <c r="C193" s="4" t="s">
        <v>168</v>
      </c>
      <c r="D193" s="4">
        <v>5</v>
      </c>
      <c r="E193" s="3">
        <v>158.62</v>
      </c>
      <c r="F193" s="3">
        <v>452.47099500000002</v>
      </c>
      <c r="G193" s="6">
        <f t="shared" si="9"/>
        <v>4524.7099499999995</v>
      </c>
      <c r="H193" s="3">
        <v>6387.1010100000003</v>
      </c>
      <c r="I193" s="6">
        <v>6.3871010000000001E-3</v>
      </c>
      <c r="J193" s="4" t="s">
        <v>214</v>
      </c>
    </row>
    <row r="194" spans="1:10" s="4" customFormat="1" x14ac:dyDescent="0.35">
      <c r="A194" s="4" t="s">
        <v>8</v>
      </c>
      <c r="C194" s="4" t="s">
        <v>169</v>
      </c>
      <c r="D194" s="4">
        <v>5</v>
      </c>
      <c r="E194" s="3">
        <v>107.029999</v>
      </c>
      <c r="F194" s="3">
        <v>98.543000000000006</v>
      </c>
      <c r="G194" s="6">
        <f t="shared" si="9"/>
        <v>985.43000000000006</v>
      </c>
      <c r="H194" s="3">
        <v>785.36300200000005</v>
      </c>
      <c r="I194" s="6">
        <v>7.8536299999999997E-4</v>
      </c>
      <c r="J194" s="4" t="s">
        <v>214</v>
      </c>
    </row>
    <row r="195" spans="1:10" s="4" customFormat="1" x14ac:dyDescent="0.35">
      <c r="A195" s="4" t="s">
        <v>8</v>
      </c>
      <c r="C195" s="4" t="s">
        <v>170</v>
      </c>
      <c r="D195" s="4">
        <v>5</v>
      </c>
      <c r="E195" s="3">
        <v>77.069999999999993</v>
      </c>
      <c r="F195" s="3">
        <v>296.25199700000002</v>
      </c>
      <c r="G195" s="6">
        <f t="shared" si="9"/>
        <v>2962.5199699999998</v>
      </c>
      <c r="H195" s="3">
        <v>4866.5909670000001</v>
      </c>
      <c r="I195" s="6">
        <v>4.866591E-3</v>
      </c>
      <c r="J195" s="4" t="s">
        <v>214</v>
      </c>
    </row>
    <row r="196" spans="1:10" s="4" customFormat="1" x14ac:dyDescent="0.35">
      <c r="A196" s="4" t="s">
        <v>144</v>
      </c>
      <c r="C196" s="4" t="s">
        <v>171</v>
      </c>
      <c r="D196" s="4">
        <v>5</v>
      </c>
      <c r="E196" s="3">
        <v>129.91999999999999</v>
      </c>
      <c r="F196" s="3">
        <v>558.03200400000003</v>
      </c>
      <c r="G196" s="6">
        <f t="shared" si="9"/>
        <v>5580.3200399999996</v>
      </c>
      <c r="H196" s="3">
        <v>10393.90897</v>
      </c>
      <c r="I196" s="6">
        <v>1.0393909E-2</v>
      </c>
      <c r="J196" s="4" t="s">
        <v>214</v>
      </c>
    </row>
    <row r="197" spans="1:10" s="4" customFormat="1" x14ac:dyDescent="0.35">
      <c r="A197" s="4" t="s">
        <v>8</v>
      </c>
      <c r="C197" s="4" t="s">
        <v>172</v>
      </c>
      <c r="D197" s="4">
        <v>5</v>
      </c>
      <c r="E197" s="3">
        <v>486.22000100000002</v>
      </c>
      <c r="F197" s="3">
        <v>4535.0909869999996</v>
      </c>
      <c r="G197" s="6">
        <f t="shared" si="9"/>
        <v>45350.909869999996</v>
      </c>
      <c r="H197" s="3">
        <v>136489.89199999999</v>
      </c>
      <c r="I197" s="6">
        <v>0.136489892</v>
      </c>
      <c r="J197" s="4" t="s">
        <v>214</v>
      </c>
    </row>
    <row r="198" spans="1:10" s="4" customFormat="1" x14ac:dyDescent="0.35">
      <c r="A198" s="4" t="s">
        <v>8</v>
      </c>
      <c r="C198" s="4" t="s">
        <v>173</v>
      </c>
      <c r="D198" s="4">
        <v>5</v>
      </c>
      <c r="E198" s="3">
        <v>39.65</v>
      </c>
      <c r="F198" s="3">
        <v>175.59599900000001</v>
      </c>
      <c r="G198" s="6">
        <f t="shared" si="9"/>
        <v>1755.9599900000001</v>
      </c>
      <c r="H198" s="3">
        <v>3134.2390099999998</v>
      </c>
      <c r="I198" s="6">
        <v>3.134239E-3</v>
      </c>
      <c r="J198" s="4" t="s">
        <v>214</v>
      </c>
    </row>
    <row r="199" spans="1:10" s="4" customFormat="1" x14ac:dyDescent="0.35">
      <c r="A199" s="4" t="s">
        <v>8</v>
      </c>
      <c r="C199" s="4" t="s">
        <v>176</v>
      </c>
      <c r="D199" s="4">
        <v>5</v>
      </c>
      <c r="E199" s="3">
        <v>38.5</v>
      </c>
      <c r="F199" s="3">
        <v>184.506001</v>
      </c>
      <c r="G199" s="6">
        <f t="shared" si="9"/>
        <v>1845.0600099999999</v>
      </c>
      <c r="H199" s="3">
        <v>3540.429028</v>
      </c>
      <c r="I199" s="6">
        <v>3.5404289999999999E-3</v>
      </c>
      <c r="J199" s="4" t="s">
        <v>214</v>
      </c>
    </row>
    <row r="200" spans="1:10" s="4" customFormat="1" x14ac:dyDescent="0.35">
      <c r="A200" s="4" t="s">
        <v>8</v>
      </c>
      <c r="C200" s="4" t="s">
        <v>177</v>
      </c>
      <c r="D200" s="4">
        <v>5</v>
      </c>
      <c r="E200" s="3">
        <v>68.78</v>
      </c>
      <c r="F200" s="3">
        <v>250.988001</v>
      </c>
      <c r="G200" s="6">
        <f t="shared" si="9"/>
        <v>2509.8800099999999</v>
      </c>
      <c r="H200" s="3">
        <v>3958.1159899999998</v>
      </c>
      <c r="I200" s="6">
        <v>3.9581160000000002E-3</v>
      </c>
      <c r="J200" s="4" t="s">
        <v>214</v>
      </c>
    </row>
    <row r="201" spans="1:10" s="4" customFormat="1" x14ac:dyDescent="0.35">
      <c r="A201" s="4" t="s">
        <v>174</v>
      </c>
      <c r="C201" s="4" t="s">
        <v>178</v>
      </c>
      <c r="D201" s="4">
        <v>5</v>
      </c>
      <c r="E201" s="3">
        <v>23.07</v>
      </c>
      <c r="F201" s="3">
        <v>118.866</v>
      </c>
      <c r="G201" s="6">
        <f t="shared" si="9"/>
        <v>1188.6599999999999</v>
      </c>
      <c r="H201" s="3">
        <v>2443.2010310000001</v>
      </c>
      <c r="I201" s="6">
        <v>2.4432009999999999E-3</v>
      </c>
      <c r="J201" s="4" t="s">
        <v>214</v>
      </c>
    </row>
    <row r="202" spans="1:10" s="4" customFormat="1" x14ac:dyDescent="0.35">
      <c r="A202" s="4" t="s">
        <v>8</v>
      </c>
      <c r="C202" s="4" t="s">
        <v>179</v>
      </c>
      <c r="D202" s="4">
        <v>5</v>
      </c>
      <c r="E202" s="3">
        <v>154.58000000000001</v>
      </c>
      <c r="F202" s="3">
        <v>1048.737001</v>
      </c>
      <c r="G202" s="6">
        <f t="shared" si="9"/>
        <v>10487.370009999999</v>
      </c>
      <c r="H202" s="3">
        <v>25366.36303</v>
      </c>
      <c r="I202" s="6">
        <v>2.5366362999999999E-2</v>
      </c>
      <c r="J202" s="4" t="s">
        <v>214</v>
      </c>
    </row>
    <row r="203" spans="1:10" s="4" customFormat="1" x14ac:dyDescent="0.35">
      <c r="A203" s="4" t="s">
        <v>8</v>
      </c>
      <c r="C203" s="4" t="s">
        <v>180</v>
      </c>
      <c r="D203" s="4">
        <v>5</v>
      </c>
      <c r="E203" s="3">
        <v>105.12</v>
      </c>
      <c r="F203" s="3">
        <v>805.84499600000004</v>
      </c>
      <c r="G203" s="6">
        <f t="shared" si="9"/>
        <v>8058.4499599999999</v>
      </c>
      <c r="H203" s="3">
        <v>21199.64399</v>
      </c>
      <c r="I203" s="6">
        <v>2.1199644E-2</v>
      </c>
      <c r="J203" s="4" t="s">
        <v>214</v>
      </c>
    </row>
    <row r="204" spans="1:10" s="4" customFormat="1" x14ac:dyDescent="0.35">
      <c r="A204" s="4" t="s">
        <v>8</v>
      </c>
      <c r="C204" s="4" t="s">
        <v>184</v>
      </c>
      <c r="D204" s="4">
        <v>5</v>
      </c>
      <c r="E204" s="3">
        <v>41.650001000000003</v>
      </c>
      <c r="F204" s="3">
        <v>118.761999</v>
      </c>
      <c r="G204" s="6">
        <f t="shared" si="9"/>
        <v>1187.6199899999999</v>
      </c>
      <c r="H204" s="3">
        <v>1540.75199</v>
      </c>
      <c r="I204" s="6">
        <v>1.5407520000000001E-3</v>
      </c>
      <c r="J204" s="4" t="s">
        <v>214</v>
      </c>
    </row>
    <row r="205" spans="1:10" s="4" customFormat="1" x14ac:dyDescent="0.35">
      <c r="A205" s="4" t="s">
        <v>144</v>
      </c>
      <c r="C205" s="4" t="s">
        <v>185</v>
      </c>
      <c r="D205" s="4">
        <v>5</v>
      </c>
      <c r="E205" s="3">
        <v>75.790001000000004</v>
      </c>
      <c r="F205" s="3">
        <v>277.59999699999997</v>
      </c>
      <c r="G205" s="6">
        <f t="shared" si="9"/>
        <v>2775.9999699999994</v>
      </c>
      <c r="H205" s="3">
        <v>4614.5140060000003</v>
      </c>
      <c r="I205" s="6">
        <v>4.6145140000000001E-3</v>
      </c>
      <c r="J205" s="4" t="s">
        <v>214</v>
      </c>
    </row>
    <row r="206" spans="1:10" s="4" customFormat="1" x14ac:dyDescent="0.35">
      <c r="A206" s="4" t="s">
        <v>144</v>
      </c>
      <c r="C206" s="4" t="s">
        <v>186</v>
      </c>
      <c r="D206" s="4">
        <v>5</v>
      </c>
      <c r="E206" s="3">
        <v>160.28</v>
      </c>
      <c r="F206" s="3">
        <v>898.10699499999998</v>
      </c>
      <c r="G206" s="6">
        <f t="shared" si="9"/>
        <v>8981.0699499999992</v>
      </c>
      <c r="H206" s="3">
        <v>19902.668020000001</v>
      </c>
      <c r="I206" s="6">
        <v>1.9902667999999998E-2</v>
      </c>
      <c r="J206" s="4" t="s">
        <v>214</v>
      </c>
    </row>
    <row r="207" spans="1:10" s="4" customFormat="1" x14ac:dyDescent="0.35">
      <c r="A207" s="4" t="s">
        <v>144</v>
      </c>
      <c r="C207" s="4" t="s">
        <v>187</v>
      </c>
      <c r="D207" s="4">
        <v>5</v>
      </c>
      <c r="E207" s="3">
        <v>34.020000000000003</v>
      </c>
      <c r="F207" s="3">
        <v>125.187999</v>
      </c>
      <c r="G207" s="6">
        <f t="shared" si="9"/>
        <v>1251.8799899999999</v>
      </c>
      <c r="H207" s="3">
        <v>1953.4490049999999</v>
      </c>
      <c r="I207" s="6">
        <v>1.9534489999999999E-3</v>
      </c>
      <c r="J207" s="4" t="s">
        <v>214</v>
      </c>
    </row>
    <row r="208" spans="1:10" s="4" customFormat="1" x14ac:dyDescent="0.35">
      <c r="A208" s="4" t="s">
        <v>144</v>
      </c>
      <c r="C208" s="4" t="s">
        <v>188</v>
      </c>
      <c r="D208" s="4">
        <v>5</v>
      </c>
      <c r="E208" s="3">
        <v>51.95</v>
      </c>
      <c r="F208" s="3">
        <v>279.266998</v>
      </c>
      <c r="G208" s="6">
        <f t="shared" si="9"/>
        <v>2792.6699799999997</v>
      </c>
      <c r="H208" s="3">
        <v>5705.9130439999999</v>
      </c>
      <c r="I208" s="6">
        <v>5.705913E-3</v>
      </c>
      <c r="J208" s="4" t="s">
        <v>214</v>
      </c>
    </row>
    <row r="209" spans="1:10" s="4" customFormat="1" x14ac:dyDescent="0.35">
      <c r="A209" s="4" t="s">
        <v>8</v>
      </c>
      <c r="C209" s="4" t="s">
        <v>189</v>
      </c>
      <c r="D209" s="4">
        <v>5</v>
      </c>
      <c r="E209" s="3">
        <v>196.990002</v>
      </c>
      <c r="F209" s="3">
        <v>1224.4390000000001</v>
      </c>
      <c r="G209" s="6">
        <f t="shared" si="9"/>
        <v>12244.39</v>
      </c>
      <c r="H209" s="3">
        <v>29616.978029999998</v>
      </c>
      <c r="I209" s="6">
        <v>2.9616977999999999E-2</v>
      </c>
      <c r="J209" s="4" t="s">
        <v>214</v>
      </c>
    </row>
    <row r="210" spans="1:10" s="4" customFormat="1" x14ac:dyDescent="0.35">
      <c r="A210" s="4" t="s">
        <v>174</v>
      </c>
      <c r="C210" s="4" t="s">
        <v>190</v>
      </c>
      <c r="D210" s="4">
        <v>5</v>
      </c>
      <c r="E210" s="3">
        <v>157.01000099999999</v>
      </c>
      <c r="F210" s="3">
        <v>984.38600099999996</v>
      </c>
      <c r="G210" s="6">
        <f t="shared" si="9"/>
        <v>9843.8600099999985</v>
      </c>
      <c r="H210" s="3">
        <v>23317.483059999999</v>
      </c>
      <c r="I210" s="6">
        <v>2.3317483E-2</v>
      </c>
      <c r="J210" s="4" t="s">
        <v>214</v>
      </c>
    </row>
    <row r="211" spans="1:10" s="4" customFormat="1" x14ac:dyDescent="0.35">
      <c r="A211" s="4" t="s">
        <v>174</v>
      </c>
      <c r="C211" s="4" t="s">
        <v>192</v>
      </c>
      <c r="D211" s="4">
        <v>5</v>
      </c>
      <c r="E211" s="3">
        <v>34.479999999999997</v>
      </c>
      <c r="F211" s="3">
        <v>206.78100000000001</v>
      </c>
      <c r="G211" s="6">
        <f t="shared" si="9"/>
        <v>2067.81</v>
      </c>
      <c r="H211" s="3">
        <v>4531.010002</v>
      </c>
      <c r="I211" s="6">
        <v>4.5310100000000002E-3</v>
      </c>
      <c r="J211" s="4" t="s">
        <v>214</v>
      </c>
    </row>
    <row r="212" spans="1:10" s="4" customFormat="1" x14ac:dyDescent="0.35">
      <c r="A212" s="4" t="s">
        <v>174</v>
      </c>
      <c r="C212" s="4" t="s">
        <v>193</v>
      </c>
      <c r="D212" s="4">
        <v>5</v>
      </c>
      <c r="E212" s="3">
        <v>134.37</v>
      </c>
      <c r="F212" s="3">
        <v>764.11400000000003</v>
      </c>
      <c r="G212" s="6">
        <f t="shared" si="9"/>
        <v>7641.14</v>
      </c>
      <c r="H212" s="3">
        <v>16561.252</v>
      </c>
      <c r="I212" s="6">
        <v>1.6561251999999999E-2</v>
      </c>
      <c r="J212" s="4" t="s">
        <v>214</v>
      </c>
    </row>
    <row r="213" spans="1:10" s="4" customFormat="1" x14ac:dyDescent="0.35">
      <c r="A213" s="4" t="s">
        <v>8</v>
      </c>
      <c r="C213" s="4" t="s">
        <v>196</v>
      </c>
      <c r="D213" s="4">
        <v>5</v>
      </c>
      <c r="E213" s="3">
        <v>186.52000100000001</v>
      </c>
      <c r="F213" s="3">
        <v>1255.534005</v>
      </c>
      <c r="G213" s="6">
        <f t="shared" si="9"/>
        <v>12555.340049999999</v>
      </c>
      <c r="H213" s="3">
        <v>30773.486099999998</v>
      </c>
      <c r="I213" s="6">
        <v>3.0773485999999999E-2</v>
      </c>
      <c r="J213" s="4" t="s">
        <v>214</v>
      </c>
    </row>
    <row r="214" spans="1:10" s="4" customFormat="1" x14ac:dyDescent="0.35">
      <c r="A214" s="4" t="s">
        <v>8</v>
      </c>
      <c r="C214" s="4" t="s">
        <v>197</v>
      </c>
      <c r="D214" s="4">
        <v>5</v>
      </c>
      <c r="E214" s="3">
        <v>53.08</v>
      </c>
      <c r="F214" s="3">
        <v>285.23199899999997</v>
      </c>
      <c r="G214" s="6">
        <f t="shared" si="9"/>
        <v>2852.3199899999995</v>
      </c>
      <c r="H214" s="3">
        <v>5898.4690250000003</v>
      </c>
      <c r="I214" s="6">
        <v>5.8984689999999999E-3</v>
      </c>
      <c r="J214" s="4" t="s">
        <v>214</v>
      </c>
    </row>
    <row r="215" spans="1:10" s="4" customFormat="1" x14ac:dyDescent="0.35">
      <c r="A215" s="4" t="s">
        <v>8</v>
      </c>
      <c r="C215" s="4" t="s">
        <v>198</v>
      </c>
      <c r="D215" s="4">
        <v>5</v>
      </c>
      <c r="E215" s="3">
        <v>51.890000999999998</v>
      </c>
      <c r="F215" s="3">
        <v>311.58499799999998</v>
      </c>
      <c r="G215" s="6">
        <f t="shared" si="9"/>
        <v>3115.8499799999995</v>
      </c>
      <c r="H215" s="3">
        <v>6888.7370259999998</v>
      </c>
      <c r="I215" s="6">
        <v>6.8887369999999998E-3</v>
      </c>
      <c r="J215" s="4" t="s">
        <v>214</v>
      </c>
    </row>
    <row r="216" spans="1:10" s="4" customFormat="1" x14ac:dyDescent="0.35">
      <c r="A216" s="4" t="s">
        <v>8</v>
      </c>
      <c r="C216" s="4" t="s">
        <v>199</v>
      </c>
      <c r="D216" s="4">
        <v>5</v>
      </c>
      <c r="E216" s="3">
        <v>120.640001</v>
      </c>
      <c r="F216" s="3">
        <v>627.34899800000005</v>
      </c>
      <c r="G216" s="6">
        <f t="shared" si="9"/>
        <v>6273.4899800000003</v>
      </c>
      <c r="H216" s="3">
        <v>12910.18698</v>
      </c>
      <c r="I216" s="6">
        <v>1.2910187E-2</v>
      </c>
      <c r="J216" s="4" t="s">
        <v>214</v>
      </c>
    </row>
    <row r="217" spans="1:10" s="4" customFormat="1" x14ac:dyDescent="0.35">
      <c r="A217" s="4" t="s">
        <v>200</v>
      </c>
      <c r="C217" s="4" t="s">
        <v>201</v>
      </c>
      <c r="D217" s="4">
        <v>5</v>
      </c>
      <c r="E217" s="3">
        <v>116.49</v>
      </c>
      <c r="F217" s="3">
        <v>579.08699799999999</v>
      </c>
      <c r="G217" s="6">
        <f t="shared" si="9"/>
        <v>5790.8699799999995</v>
      </c>
      <c r="H217" s="3">
        <v>11550.66106</v>
      </c>
      <c r="I217" s="6">
        <v>1.1550661E-2</v>
      </c>
      <c r="J217" s="4" t="s">
        <v>214</v>
      </c>
    </row>
    <row r="218" spans="1:10" s="4" customFormat="1" x14ac:dyDescent="0.35">
      <c r="A218" s="4" t="s">
        <v>8</v>
      </c>
      <c r="C218" s="4" t="s">
        <v>206</v>
      </c>
      <c r="D218" s="4">
        <v>5</v>
      </c>
      <c r="E218" s="3">
        <v>64.61</v>
      </c>
      <c r="F218" s="3">
        <v>412.06699900000001</v>
      </c>
      <c r="G218" s="6">
        <f t="shared" si="9"/>
        <v>4120.6699899999994</v>
      </c>
      <c r="H218" s="3">
        <v>9445.1049650000004</v>
      </c>
      <c r="I218" s="6">
        <v>9.4451050000000005E-3</v>
      </c>
      <c r="J218" s="4" t="s">
        <v>214</v>
      </c>
    </row>
    <row r="219" spans="1:10" s="4" customFormat="1" x14ac:dyDescent="0.35">
      <c r="A219" s="4" t="s">
        <v>8</v>
      </c>
      <c r="C219" s="4" t="s">
        <v>207</v>
      </c>
      <c r="D219" s="4">
        <v>5</v>
      </c>
      <c r="E219" s="3">
        <v>500.87</v>
      </c>
      <c r="F219" s="3">
        <v>3116.683</v>
      </c>
      <c r="G219" s="6">
        <f t="shared" si="9"/>
        <v>31166.829999999998</v>
      </c>
      <c r="H219" s="3">
        <v>74869.787849999993</v>
      </c>
      <c r="I219" s="6">
        <v>7.4869788000000007E-2</v>
      </c>
      <c r="J219" s="4" t="s">
        <v>214</v>
      </c>
    </row>
    <row r="220" spans="1:10" s="4" customFormat="1" x14ac:dyDescent="0.35">
      <c r="A220" s="4" t="s">
        <v>8</v>
      </c>
      <c r="C220" s="4" t="s">
        <v>208</v>
      </c>
      <c r="D220" s="4">
        <v>5</v>
      </c>
      <c r="E220" s="3">
        <v>243.45000099999999</v>
      </c>
      <c r="F220" s="3">
        <v>1395.479006</v>
      </c>
      <c r="G220" s="6">
        <f t="shared" si="9"/>
        <v>13954.790059999999</v>
      </c>
      <c r="H220" s="3">
        <v>30111.166980000002</v>
      </c>
      <c r="I220" s="6">
        <v>3.0111167000000001E-2</v>
      </c>
      <c r="J220" s="4" t="s">
        <v>214</v>
      </c>
    </row>
    <row r="221" spans="1:10" s="4" customFormat="1" x14ac:dyDescent="0.35">
      <c r="A221" s="4" t="s">
        <v>8</v>
      </c>
      <c r="C221" s="4" t="s">
        <v>158</v>
      </c>
      <c r="D221" s="4">
        <v>5</v>
      </c>
      <c r="E221" s="3">
        <v>231.26</v>
      </c>
      <c r="F221" s="3">
        <v>910.19600400000002</v>
      </c>
      <c r="G221" s="6">
        <f t="shared" si="9"/>
        <v>9101.9600399999999</v>
      </c>
      <c r="H221" s="3">
        <v>15398.312980000001</v>
      </c>
      <c r="I221" s="6">
        <v>1.5398313E-2</v>
      </c>
      <c r="J221" s="4" t="s">
        <v>214</v>
      </c>
    </row>
    <row r="222" spans="1:10" s="4" customFormat="1" x14ac:dyDescent="0.35">
      <c r="A222" s="4" t="s">
        <v>8</v>
      </c>
      <c r="C222" s="4" t="s">
        <v>202</v>
      </c>
      <c r="D222" s="4">
        <v>5</v>
      </c>
      <c r="E222" s="3">
        <v>100.89</v>
      </c>
      <c r="F222" s="3">
        <v>557.00199999999995</v>
      </c>
      <c r="G222" s="6">
        <f t="shared" si="9"/>
        <v>5570.0199999999995</v>
      </c>
      <c r="H222" s="3">
        <v>11815.14508</v>
      </c>
      <c r="I222" s="6">
        <v>1.1815145000000001E-2</v>
      </c>
      <c r="J222" s="4" t="s">
        <v>214</v>
      </c>
    </row>
    <row r="223" spans="1:10" s="4" customFormat="1" x14ac:dyDescent="0.35">
      <c r="A223" s="4" t="s">
        <v>8</v>
      </c>
      <c r="C223" s="4" t="s">
        <v>181</v>
      </c>
      <c r="D223" s="4">
        <v>5</v>
      </c>
      <c r="E223" s="3">
        <v>154.24</v>
      </c>
      <c r="F223" s="3">
        <v>1167.8909960000001</v>
      </c>
      <c r="G223" s="6">
        <f t="shared" si="9"/>
        <v>11678.909960000001</v>
      </c>
      <c r="H223" s="3">
        <v>30465.353040000002</v>
      </c>
      <c r="I223" s="6">
        <v>3.0465353000000001E-2</v>
      </c>
      <c r="J223" s="4" t="s">
        <v>214</v>
      </c>
    </row>
    <row r="224" spans="1:10" s="4" customFormat="1" x14ac:dyDescent="0.35">
      <c r="A224" s="4" t="s">
        <v>8</v>
      </c>
      <c r="C224" s="4" t="s">
        <v>203</v>
      </c>
      <c r="D224" s="4">
        <v>5</v>
      </c>
      <c r="E224" s="3">
        <v>131.29000099999999</v>
      </c>
      <c r="F224" s="3">
        <v>824.827</v>
      </c>
      <c r="G224" s="6">
        <f t="shared" si="9"/>
        <v>8248.2699999999986</v>
      </c>
      <c r="H224" s="3">
        <v>19434.732</v>
      </c>
      <c r="I224" s="6">
        <v>1.9434732E-2</v>
      </c>
      <c r="J224" s="4" t="s">
        <v>214</v>
      </c>
    </row>
    <row r="225" spans="1:10" s="4" customFormat="1" x14ac:dyDescent="0.35">
      <c r="A225" s="4" t="s">
        <v>8</v>
      </c>
      <c r="C225" s="4" t="s">
        <v>160</v>
      </c>
      <c r="D225" s="4">
        <v>5</v>
      </c>
      <c r="E225" s="3">
        <v>29.080000999999999</v>
      </c>
      <c r="F225" s="3">
        <v>161.12899999999999</v>
      </c>
      <c r="G225" s="6">
        <f t="shared" si="9"/>
        <v>1611.2899999999997</v>
      </c>
      <c r="H225" s="3">
        <v>3395.8909950000002</v>
      </c>
      <c r="I225" s="6">
        <v>3.3958909999999998E-3</v>
      </c>
      <c r="J225" s="4" t="s">
        <v>214</v>
      </c>
    </row>
    <row r="226" spans="1:10" s="4" customFormat="1" x14ac:dyDescent="0.35">
      <c r="A226" s="4" t="s">
        <v>8</v>
      </c>
      <c r="C226" s="4" t="s">
        <v>204</v>
      </c>
      <c r="D226" s="4">
        <v>5</v>
      </c>
      <c r="E226" s="3">
        <v>90.490001000000007</v>
      </c>
      <c r="F226" s="3">
        <v>626.43499899999995</v>
      </c>
      <c r="G226" s="6">
        <f t="shared" si="9"/>
        <v>6264.3499899999988</v>
      </c>
      <c r="H226" s="3">
        <v>15687.268099999999</v>
      </c>
      <c r="I226" s="6">
        <v>1.5687268000000001E-2</v>
      </c>
      <c r="J226" s="4" t="s">
        <v>214</v>
      </c>
    </row>
    <row r="227" spans="1:10" s="4" customFormat="1" x14ac:dyDescent="0.35">
      <c r="A227" s="4" t="s">
        <v>3</v>
      </c>
      <c r="C227" s="4" t="s">
        <v>205</v>
      </c>
      <c r="D227" s="4">
        <v>5</v>
      </c>
      <c r="E227" s="3">
        <v>103.519999</v>
      </c>
      <c r="F227" s="3">
        <v>573.48000200000001</v>
      </c>
      <c r="G227" s="6">
        <f t="shared" si="9"/>
        <v>5734.8000199999997</v>
      </c>
      <c r="H227" s="3">
        <v>12194.785889999999</v>
      </c>
      <c r="I227" s="6">
        <v>1.2194786000000001E-2</v>
      </c>
      <c r="J227" s="4" t="s">
        <v>214</v>
      </c>
    </row>
    <row r="228" spans="1:10" s="4" customFormat="1" x14ac:dyDescent="0.35">
      <c r="A228" s="4" t="s">
        <v>144</v>
      </c>
      <c r="C228" s="4" t="s">
        <v>161</v>
      </c>
      <c r="D228" s="4">
        <v>5</v>
      </c>
      <c r="E228" s="3">
        <v>146.809999</v>
      </c>
      <c r="F228" s="3">
        <v>1091.7650040000001</v>
      </c>
      <c r="G228" s="6">
        <f t="shared" si="9"/>
        <v>10917.65004</v>
      </c>
      <c r="H228" s="3">
        <v>28869.275000000001</v>
      </c>
      <c r="I228" s="6">
        <v>2.8869275E-2</v>
      </c>
      <c r="J228" s="4" t="s">
        <v>214</v>
      </c>
    </row>
  </sheetData>
  <sortState xmlns:xlrd2="http://schemas.microsoft.com/office/spreadsheetml/2017/richdata2" ref="A2:CO128">
    <sortCondition descending="1" ref="D2:D1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F0AC-F6FE-482C-91C2-E47E1E1B5DD4}">
  <dimension ref="A1:AQ26"/>
  <sheetViews>
    <sheetView topLeftCell="Z1" zoomScaleNormal="100" workbookViewId="0">
      <selection activeCell="AA12" sqref="AA12"/>
    </sheetView>
  </sheetViews>
  <sheetFormatPr defaultRowHeight="14.5" x14ac:dyDescent="0.35"/>
  <cols>
    <col min="1" max="1" width="21.54296875" customWidth="1"/>
    <col min="43" max="43" width="11.81640625" bestFit="1" customWidth="1"/>
  </cols>
  <sheetData>
    <row r="1" spans="1:43" x14ac:dyDescent="0.35">
      <c r="B1" t="s">
        <v>16</v>
      </c>
      <c r="G1" t="s">
        <v>17</v>
      </c>
      <c r="I1" t="s">
        <v>20</v>
      </c>
      <c r="O1" t="s">
        <v>14</v>
      </c>
      <c r="AF1" t="s">
        <v>269</v>
      </c>
      <c r="AJ1" t="s">
        <v>269</v>
      </c>
      <c r="AL1" t="s">
        <v>270</v>
      </c>
      <c r="AN1" t="s">
        <v>271</v>
      </c>
      <c r="AQ1" t="s">
        <v>272</v>
      </c>
    </row>
    <row r="2" spans="1:43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t="s">
        <v>9</v>
      </c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  <c r="Y2" t="s">
        <v>9</v>
      </c>
      <c r="AC2">
        <v>1</v>
      </c>
      <c r="AD2">
        <v>1104972.0139079997</v>
      </c>
      <c r="AE2">
        <v>1</v>
      </c>
      <c r="AF2">
        <v>11049.720139079998</v>
      </c>
      <c r="AG2">
        <v>1</v>
      </c>
      <c r="AH2">
        <v>571072.03193699999</v>
      </c>
      <c r="AI2">
        <v>1</v>
      </c>
      <c r="AJ2">
        <f>AH2*0.01</f>
        <v>5710.7203193699997</v>
      </c>
      <c r="AK2">
        <v>1</v>
      </c>
      <c r="AL2">
        <v>10608583.5990433</v>
      </c>
      <c r="AM2">
        <v>1</v>
      </c>
      <c r="AN2">
        <v>10613579.038484801</v>
      </c>
      <c r="AP2">
        <v>1</v>
      </c>
      <c r="AQ2">
        <f>AL2*AN2</f>
        <v>112595040514819.63</v>
      </c>
    </row>
    <row r="3" spans="1:43" x14ac:dyDescent="0.35">
      <c r="A3" t="s">
        <v>8</v>
      </c>
      <c r="B3">
        <v>571072.03193699999</v>
      </c>
      <c r="C3">
        <v>370331.54704199999</v>
      </c>
      <c r="D3">
        <v>348435.12301400001</v>
      </c>
      <c r="E3">
        <v>376048.46389100002</v>
      </c>
      <c r="F3">
        <v>469157.57393700001</v>
      </c>
      <c r="G3">
        <v>598710.48482500005</v>
      </c>
      <c r="H3">
        <v>535752.83883799997</v>
      </c>
      <c r="I3">
        <v>640329.331657</v>
      </c>
      <c r="J3">
        <v>564450.214224</v>
      </c>
      <c r="K3">
        <v>6489.2348629999997</v>
      </c>
      <c r="L3">
        <f>SUM(B3:K3)</f>
        <v>4480776.8442279994</v>
      </c>
      <c r="M3">
        <f>(L3/L$16)*100</f>
        <v>58.584900995870981</v>
      </c>
      <c r="N3" t="s">
        <v>8</v>
      </c>
      <c r="O3">
        <f t="shared" ref="O3:X3" si="0">(B3/$L3)*100</f>
        <v>12.744933563755525</v>
      </c>
      <c r="P3">
        <f t="shared" si="0"/>
        <v>8.2648960195161223</v>
      </c>
      <c r="Q3">
        <f t="shared" si="0"/>
        <v>7.7762212921369551</v>
      </c>
      <c r="R3">
        <f t="shared" si="0"/>
        <v>8.3924836465670953</v>
      </c>
      <c r="S3">
        <f t="shared" si="0"/>
        <v>10.470451670481081</v>
      </c>
      <c r="T3">
        <f t="shared" si="0"/>
        <v>13.361756356963875</v>
      </c>
      <c r="U3">
        <f t="shared" si="0"/>
        <v>11.956695400444691</v>
      </c>
      <c r="V3">
        <f t="shared" si="0"/>
        <v>14.290587411909449</v>
      </c>
      <c r="W3">
        <f t="shared" si="0"/>
        <v>12.59715075860356</v>
      </c>
      <c r="X3">
        <f t="shared" si="0"/>
        <v>0.14482387962166057</v>
      </c>
      <c r="Y3">
        <f>SUM(O3:X3)</f>
        <v>100.00000000000001</v>
      </c>
      <c r="AC3">
        <v>2</v>
      </c>
      <c r="AD3">
        <v>706114.21409600019</v>
      </c>
      <c r="AE3">
        <v>2</v>
      </c>
      <c r="AF3">
        <v>7061.1421409600016</v>
      </c>
      <c r="AG3">
        <v>2</v>
      </c>
      <c r="AH3">
        <v>370331.54704199999</v>
      </c>
      <c r="AI3">
        <v>2</v>
      </c>
      <c r="AJ3">
        <f t="shared" ref="AJ3:AJ11" si="1">AH3*0.01</f>
        <v>3703.3154704200001</v>
      </c>
      <c r="AK3">
        <v>2</v>
      </c>
      <c r="AL3">
        <v>23085203.997162499</v>
      </c>
      <c r="AM3">
        <v>2</v>
      </c>
      <c r="AN3">
        <v>3494746.6595675498</v>
      </c>
      <c r="AP3">
        <v>2</v>
      </c>
      <c r="AQ3">
        <f t="shared" ref="AQ3:AQ10" si="2">AL3*AN3</f>
        <v>80676939554519.094</v>
      </c>
    </row>
    <row r="4" spans="1:43" x14ac:dyDescent="0.35">
      <c r="A4" t="s">
        <v>12</v>
      </c>
      <c r="B4">
        <v>27777.197999</v>
      </c>
      <c r="C4">
        <v>16241.696996999999</v>
      </c>
      <c r="D4">
        <v>15181.631009999999</v>
      </c>
      <c r="E4">
        <v>20596.277999999998</v>
      </c>
      <c r="F4">
        <v>22390.907993000001</v>
      </c>
      <c r="G4">
        <v>16258.906010000001</v>
      </c>
      <c r="H4">
        <v>6156.9019930000004</v>
      </c>
      <c r="L4">
        <f t="shared" ref="L4:L15" si="3">SUM(B4:K4)</f>
        <v>124603.520002</v>
      </c>
      <c r="M4">
        <f t="shared" ref="M4:M16" si="4">(L4/L$16)*100</f>
        <v>1.6291560898547515</v>
      </c>
      <c r="N4" t="s">
        <v>12</v>
      </c>
      <c r="O4">
        <f t="shared" ref="O4:O15" si="5">(B4/$L4)*100</f>
        <v>22.292466535900552</v>
      </c>
      <c r="P4">
        <f t="shared" ref="P4:P15" si="6">(C4/$L4)*100</f>
        <v>13.034701585267658</v>
      </c>
      <c r="Q4">
        <f t="shared" ref="Q4:Q15" si="7">(D4/$L4)*100</f>
        <v>12.183950348879646</v>
      </c>
      <c r="R4">
        <f t="shared" ref="R4:R15" si="8">(E4/$L4)*100</f>
        <v>16.529451174147734</v>
      </c>
      <c r="S4">
        <f t="shared" ref="S4:S15" si="9">(F4/$L4)*100</f>
        <v>17.969723481841125</v>
      </c>
      <c r="T4">
        <f t="shared" ref="T4:T15" si="10">(G4/$L4)*100</f>
        <v>13.048512602002759</v>
      </c>
      <c r="U4">
        <f t="shared" ref="U4:U15" si="11">(H4/$L4)*100</f>
        <v>4.9411942719605157</v>
      </c>
      <c r="V4">
        <f t="shared" ref="V4:V15" si="12">(I4/$L4)*100</f>
        <v>0</v>
      </c>
      <c r="W4">
        <f t="shared" ref="W4:W15" si="13">(J4/$L4)*100</f>
        <v>0</v>
      </c>
      <c r="X4">
        <f t="shared" ref="X4:X15" si="14">(K4/$L4)*100</f>
        <v>0</v>
      </c>
      <c r="Y4">
        <f t="shared" ref="Y4:Y15" si="15">SUM(O4:X4)</f>
        <v>100</v>
      </c>
      <c r="AC4">
        <v>3</v>
      </c>
      <c r="AD4">
        <v>677041.0530800001</v>
      </c>
      <c r="AE4">
        <v>3</v>
      </c>
      <c r="AF4">
        <v>6770.4105308000007</v>
      </c>
      <c r="AG4">
        <v>3</v>
      </c>
      <c r="AH4">
        <v>348435.12301400001</v>
      </c>
      <c r="AI4">
        <v>3</v>
      </c>
      <c r="AJ4">
        <f t="shared" si="1"/>
        <v>3484.3512301400001</v>
      </c>
      <c r="AK4">
        <v>3</v>
      </c>
      <c r="AL4">
        <v>56144970.092669398</v>
      </c>
      <c r="AM4">
        <v>3</v>
      </c>
      <c r="AN4">
        <v>1800986.8793884199</v>
      </c>
      <c r="AP4">
        <v>3</v>
      </c>
      <c r="AQ4">
        <f t="shared" si="2"/>
        <v>101116354480552.83</v>
      </c>
    </row>
    <row r="5" spans="1:43" x14ac:dyDescent="0.35">
      <c r="A5" t="s">
        <v>7</v>
      </c>
      <c r="B5">
        <v>49956.949996000003</v>
      </c>
      <c r="C5">
        <v>30079.815009000002</v>
      </c>
      <c r="D5">
        <v>27413.842022000001</v>
      </c>
      <c r="E5">
        <v>30924.357003000001</v>
      </c>
      <c r="F5">
        <v>43686.093027000003</v>
      </c>
      <c r="G5">
        <v>44454.257103999997</v>
      </c>
      <c r="H5">
        <v>29270.734946</v>
      </c>
      <c r="L5">
        <f t="shared" si="3"/>
        <v>255786.049107</v>
      </c>
      <c r="M5">
        <f t="shared" si="4"/>
        <v>3.344330879222889</v>
      </c>
      <c r="N5" t="s">
        <v>7</v>
      </c>
      <c r="O5">
        <f t="shared" si="5"/>
        <v>19.53075633734117</v>
      </c>
      <c r="P5">
        <f t="shared" si="6"/>
        <v>11.759755903034829</v>
      </c>
      <c r="Q5">
        <f t="shared" si="7"/>
        <v>10.717489135043595</v>
      </c>
      <c r="R5">
        <f t="shared" si="8"/>
        <v>12.089931061902353</v>
      </c>
      <c r="S5">
        <f t="shared" si="9"/>
        <v>17.079153917704602</v>
      </c>
      <c r="T5">
        <f t="shared" si="10"/>
        <v>17.379468997311875</v>
      </c>
      <c r="U5">
        <f t="shared" si="11"/>
        <v>11.443444647661575</v>
      </c>
      <c r="V5">
        <f t="shared" si="12"/>
        <v>0</v>
      </c>
      <c r="W5">
        <f t="shared" si="13"/>
        <v>0</v>
      </c>
      <c r="X5">
        <f t="shared" si="14"/>
        <v>0</v>
      </c>
      <c r="Y5">
        <f t="shared" si="15"/>
        <v>100</v>
      </c>
      <c r="AC5">
        <v>4</v>
      </c>
      <c r="AD5">
        <v>725104.30585100013</v>
      </c>
      <c r="AE5">
        <v>4</v>
      </c>
      <c r="AF5">
        <v>7251.0430585100012</v>
      </c>
      <c r="AG5">
        <v>4</v>
      </c>
      <c r="AH5">
        <v>376048.46389100002</v>
      </c>
      <c r="AI5">
        <v>4</v>
      </c>
      <c r="AJ5">
        <f t="shared" si="1"/>
        <v>3760.4846389100003</v>
      </c>
      <c r="AK5">
        <v>4</v>
      </c>
      <c r="AL5">
        <v>135918962.61791199</v>
      </c>
      <c r="AM5">
        <v>4</v>
      </c>
      <c r="AN5">
        <v>895982.66990702599</v>
      </c>
      <c r="AP5">
        <v>4</v>
      </c>
      <c r="AQ5">
        <f t="shared" si="2"/>
        <v>121781035017390.05</v>
      </c>
    </row>
    <row r="6" spans="1:43" x14ac:dyDescent="0.35">
      <c r="A6" t="s">
        <v>3</v>
      </c>
      <c r="B6">
        <v>25254.419005</v>
      </c>
      <c r="C6">
        <v>17769.246006000001</v>
      </c>
      <c r="D6">
        <v>17240.894003000001</v>
      </c>
      <c r="E6">
        <v>15388.302012</v>
      </c>
      <c r="F6">
        <v>19734.889998999999</v>
      </c>
      <c r="G6">
        <v>32104.383011000002</v>
      </c>
      <c r="H6">
        <v>20695.303962000002</v>
      </c>
      <c r="I6">
        <v>14689.106024000001</v>
      </c>
      <c r="L6">
        <f t="shared" si="3"/>
        <v>162876.54402200002</v>
      </c>
      <c r="M6">
        <f t="shared" si="4"/>
        <v>2.1295651485903266</v>
      </c>
      <c r="N6" t="s">
        <v>3</v>
      </c>
      <c r="O6">
        <f t="shared" si="5"/>
        <v>15.50525224896032</v>
      </c>
      <c r="P6">
        <f t="shared" si="6"/>
        <v>10.909640864923976</v>
      </c>
      <c r="Q6">
        <f t="shared" si="7"/>
        <v>10.585252840747433</v>
      </c>
      <c r="R6">
        <f t="shared" si="8"/>
        <v>9.4478318559617005</v>
      </c>
      <c r="S6">
        <f t="shared" si="9"/>
        <v>12.116471476908531</v>
      </c>
      <c r="T6">
        <f t="shared" si="10"/>
        <v>19.710869483247144</v>
      </c>
      <c r="U6">
        <f t="shared" si="11"/>
        <v>12.70612910303687</v>
      </c>
      <c r="V6">
        <f t="shared" si="12"/>
        <v>9.018552126214022</v>
      </c>
      <c r="W6">
        <f t="shared" si="13"/>
        <v>0</v>
      </c>
      <c r="X6">
        <f t="shared" si="14"/>
        <v>0</v>
      </c>
      <c r="Y6">
        <f t="shared" si="15"/>
        <v>100</v>
      </c>
      <c r="AC6">
        <v>5</v>
      </c>
      <c r="AD6">
        <v>855051.77802199998</v>
      </c>
      <c r="AE6">
        <v>5</v>
      </c>
      <c r="AF6">
        <v>8550.5177802199996</v>
      </c>
      <c r="AG6">
        <v>5</v>
      </c>
      <c r="AH6">
        <v>469157.57393700001</v>
      </c>
      <c r="AI6">
        <v>5</v>
      </c>
      <c r="AJ6">
        <f t="shared" si="1"/>
        <v>4691.5757393700005</v>
      </c>
      <c r="AK6">
        <v>5</v>
      </c>
      <c r="AL6">
        <v>314728401.66314697</v>
      </c>
      <c r="AM6">
        <v>5</v>
      </c>
      <c r="AN6">
        <v>460039.60983775498</v>
      </c>
      <c r="AP6">
        <v>5</v>
      </c>
      <c r="AQ6">
        <f t="shared" si="2"/>
        <v>144787531105974.38</v>
      </c>
    </row>
    <row r="7" spans="1:43" x14ac:dyDescent="0.35">
      <c r="A7" t="s">
        <v>4</v>
      </c>
      <c r="B7">
        <v>12837.347999</v>
      </c>
      <c r="C7">
        <v>7861.647997</v>
      </c>
      <c r="D7">
        <v>7890.7170029999997</v>
      </c>
      <c r="E7">
        <v>7158.1339900000003</v>
      </c>
      <c r="F7">
        <v>5803.4930039999999</v>
      </c>
      <c r="G7">
        <v>3602.6610150000001</v>
      </c>
      <c r="L7">
        <f t="shared" si="3"/>
        <v>45154.001007999999</v>
      </c>
      <c r="M7">
        <f t="shared" si="4"/>
        <v>0.59037590368482384</v>
      </c>
      <c r="N7" t="s">
        <v>4</v>
      </c>
      <c r="O7">
        <f t="shared" si="5"/>
        <v>28.430145086646007</v>
      </c>
      <c r="P7">
        <f t="shared" si="6"/>
        <v>17.410745053593679</v>
      </c>
      <c r="Q7">
        <f t="shared" si="7"/>
        <v>17.475122529234984</v>
      </c>
      <c r="R7">
        <f t="shared" si="8"/>
        <v>15.852712561909593</v>
      </c>
      <c r="S7">
        <f t="shared" si="9"/>
        <v>12.852666152378802</v>
      </c>
      <c r="T7">
        <f t="shared" si="10"/>
        <v>7.9786086162369347</v>
      </c>
      <c r="U7">
        <f t="shared" si="11"/>
        <v>0</v>
      </c>
      <c r="V7">
        <f t="shared" si="12"/>
        <v>0</v>
      </c>
      <c r="W7">
        <f t="shared" si="13"/>
        <v>0</v>
      </c>
      <c r="X7">
        <f t="shared" si="14"/>
        <v>0</v>
      </c>
      <c r="Y7">
        <f t="shared" si="15"/>
        <v>100.00000000000001</v>
      </c>
      <c r="AC7">
        <v>6</v>
      </c>
      <c r="AD7">
        <v>1027929.468924</v>
      </c>
      <c r="AE7">
        <v>6</v>
      </c>
      <c r="AF7">
        <v>10279.294689240001</v>
      </c>
      <c r="AG7">
        <v>6</v>
      </c>
      <c r="AH7">
        <v>598710.48482500005</v>
      </c>
      <c r="AI7">
        <v>6</v>
      </c>
      <c r="AJ7">
        <f t="shared" si="1"/>
        <v>5987.1048482500009</v>
      </c>
      <c r="AK7">
        <v>6</v>
      </c>
      <c r="AL7">
        <v>699870993.07788002</v>
      </c>
      <c r="AM7">
        <v>6</v>
      </c>
      <c r="AN7">
        <v>250236.119874909</v>
      </c>
      <c r="AP7">
        <v>6</v>
      </c>
      <c r="AQ7">
        <f t="shared" si="2"/>
        <v>175133001720808</v>
      </c>
    </row>
    <row r="8" spans="1:43" x14ac:dyDescent="0.35">
      <c r="A8" t="s">
        <v>5</v>
      </c>
      <c r="B8">
        <v>26638.555999</v>
      </c>
      <c r="C8">
        <v>15007.463999</v>
      </c>
      <c r="D8">
        <v>15167.825994999999</v>
      </c>
      <c r="E8">
        <v>15256.818014</v>
      </c>
      <c r="F8">
        <v>7652.0260099999996</v>
      </c>
      <c r="G8">
        <v>13578.941015</v>
      </c>
      <c r="H8">
        <v>5090.1309819999997</v>
      </c>
      <c r="I8">
        <v>10912.52</v>
      </c>
      <c r="L8">
        <f t="shared" si="3"/>
        <v>109304.28201400001</v>
      </c>
      <c r="M8">
        <f t="shared" si="4"/>
        <v>1.4291228424963518</v>
      </c>
      <c r="N8" t="s">
        <v>5</v>
      </c>
      <c r="O8">
        <f t="shared" si="5"/>
        <v>24.371008626714236</v>
      </c>
      <c r="P8">
        <f t="shared" si="6"/>
        <v>13.729987263516172</v>
      </c>
      <c r="Q8">
        <f t="shared" si="7"/>
        <v>13.876698804038856</v>
      </c>
      <c r="R8">
        <f t="shared" si="8"/>
        <v>13.958115576886424</v>
      </c>
      <c r="S8">
        <f t="shared" si="9"/>
        <v>7.0006644469975159</v>
      </c>
      <c r="T8">
        <f t="shared" si="10"/>
        <v>12.423064096666195</v>
      </c>
      <c r="U8">
        <f t="shared" si="11"/>
        <v>4.6568449910755012</v>
      </c>
      <c r="V8">
        <f t="shared" si="12"/>
        <v>9.9836161941050889</v>
      </c>
      <c r="W8">
        <f t="shared" si="13"/>
        <v>0</v>
      </c>
      <c r="X8">
        <f t="shared" si="14"/>
        <v>0</v>
      </c>
      <c r="Y8">
        <f t="shared" si="15"/>
        <v>100</v>
      </c>
      <c r="AC8">
        <v>7</v>
      </c>
      <c r="AD8">
        <v>921446.87735099986</v>
      </c>
      <c r="AE8">
        <v>7</v>
      </c>
      <c r="AF8">
        <v>9214.4687735099997</v>
      </c>
      <c r="AG8">
        <v>7</v>
      </c>
      <c r="AH8">
        <v>535752.83883799997</v>
      </c>
      <c r="AI8">
        <v>7</v>
      </c>
      <c r="AJ8">
        <f t="shared" si="1"/>
        <v>5357.5283883799993</v>
      </c>
      <c r="AK8">
        <v>7</v>
      </c>
      <c r="AL8">
        <v>1257645903.45996</v>
      </c>
      <c r="AM8">
        <v>7</v>
      </c>
      <c r="AN8">
        <v>109933.789978295</v>
      </c>
      <c r="AP8">
        <v>7</v>
      </c>
      <c r="AQ8">
        <f t="shared" si="2"/>
        <v>138257780618030.31</v>
      </c>
    </row>
    <row r="9" spans="1:43" x14ac:dyDescent="0.35">
      <c r="A9" t="s">
        <v>13</v>
      </c>
      <c r="B9">
        <v>32318.811002999999</v>
      </c>
      <c r="C9">
        <v>21403.274001000002</v>
      </c>
      <c r="D9">
        <v>19821.531996999998</v>
      </c>
      <c r="E9">
        <v>24747.105986999999</v>
      </c>
      <c r="F9">
        <v>21998.994018000001</v>
      </c>
      <c r="G9">
        <v>11693.746991</v>
      </c>
      <c r="H9">
        <v>6551.6800080000003</v>
      </c>
      <c r="L9">
        <f t="shared" si="3"/>
        <v>138535.14400500001</v>
      </c>
      <c r="M9">
        <f t="shared" si="4"/>
        <v>1.8113081677871388</v>
      </c>
      <c r="N9" t="s">
        <v>13</v>
      </c>
      <c r="O9">
        <f t="shared" si="5"/>
        <v>23.328961928847132</v>
      </c>
      <c r="P9">
        <f t="shared" si="6"/>
        <v>15.44970711563812</v>
      </c>
      <c r="Q9">
        <f t="shared" si="7"/>
        <v>14.30794484631611</v>
      </c>
      <c r="R9">
        <f t="shared" si="8"/>
        <v>17.863413767489085</v>
      </c>
      <c r="S9">
        <f t="shared" si="9"/>
        <v>15.879720756782131</v>
      </c>
      <c r="T9">
        <f t="shared" si="10"/>
        <v>8.4409967412875027</v>
      </c>
      <c r="U9">
        <f t="shared" si="11"/>
        <v>4.7292548436399189</v>
      </c>
      <c r="V9">
        <f t="shared" si="12"/>
        <v>0</v>
      </c>
      <c r="W9">
        <f t="shared" si="13"/>
        <v>0</v>
      </c>
      <c r="X9">
        <f t="shared" si="14"/>
        <v>0</v>
      </c>
      <c r="Y9">
        <f t="shared" si="15"/>
        <v>100.00000000000001</v>
      </c>
      <c r="AC9">
        <v>8</v>
      </c>
      <c r="AD9">
        <v>943059.81469299993</v>
      </c>
      <c r="AE9">
        <v>8</v>
      </c>
      <c r="AF9">
        <v>9430.5981469300004</v>
      </c>
      <c r="AG9">
        <v>8</v>
      </c>
      <c r="AH9">
        <v>640329.331657</v>
      </c>
      <c r="AI9">
        <v>8</v>
      </c>
      <c r="AJ9">
        <f t="shared" si="1"/>
        <v>6403.2933165700006</v>
      </c>
      <c r="AK9">
        <v>8</v>
      </c>
      <c r="AL9">
        <v>1982987472.96875</v>
      </c>
      <c r="AM9">
        <v>8</v>
      </c>
      <c r="AN9">
        <v>49827.029986068599</v>
      </c>
      <c r="AP9">
        <v>8</v>
      </c>
      <c r="AQ9">
        <f t="shared" si="2"/>
        <v>98806376277612.297</v>
      </c>
    </row>
    <row r="10" spans="1:43" x14ac:dyDescent="0.35">
      <c r="A10" t="s">
        <v>6</v>
      </c>
      <c r="B10">
        <v>88737.590977</v>
      </c>
      <c r="C10">
        <v>59554.388012000003</v>
      </c>
      <c r="D10">
        <v>60190.699015999999</v>
      </c>
      <c r="E10">
        <v>64472.53299</v>
      </c>
      <c r="F10">
        <v>74176.955010000005</v>
      </c>
      <c r="G10">
        <v>98304.866005000003</v>
      </c>
      <c r="H10">
        <v>121237.992915</v>
      </c>
      <c r="I10">
        <v>135750.12210800001</v>
      </c>
      <c r="J10">
        <v>34099.041129999998</v>
      </c>
      <c r="L10">
        <f t="shared" si="3"/>
        <v>736524.18816300004</v>
      </c>
      <c r="M10">
        <f t="shared" si="4"/>
        <v>9.6298472663679053</v>
      </c>
      <c r="N10" t="s">
        <v>6</v>
      </c>
      <c r="O10">
        <f t="shared" si="5"/>
        <v>12.048157060303023</v>
      </c>
      <c r="P10">
        <f t="shared" si="6"/>
        <v>8.0858699509295722</v>
      </c>
      <c r="Q10">
        <f t="shared" si="7"/>
        <v>8.1722637196918786</v>
      </c>
      <c r="R10">
        <f t="shared" si="8"/>
        <v>8.7536205906290743</v>
      </c>
      <c r="S10">
        <f t="shared" si="9"/>
        <v>10.071217782406885</v>
      </c>
      <c r="T10">
        <f t="shared" si="10"/>
        <v>13.347133411896062</v>
      </c>
      <c r="U10">
        <f t="shared" si="11"/>
        <v>16.460829781759838</v>
      </c>
      <c r="V10">
        <f t="shared" si="12"/>
        <v>18.431183155923343</v>
      </c>
      <c r="W10">
        <f t="shared" si="13"/>
        <v>4.6297245464603192</v>
      </c>
      <c r="X10">
        <f t="shared" si="14"/>
        <v>0</v>
      </c>
      <c r="Y10">
        <f t="shared" si="15"/>
        <v>100</v>
      </c>
      <c r="AC10">
        <v>9</v>
      </c>
      <c r="AD10">
        <v>681138.79645000002</v>
      </c>
      <c r="AE10">
        <v>9</v>
      </c>
      <c r="AF10">
        <v>6811.3879645000006</v>
      </c>
      <c r="AG10">
        <v>9</v>
      </c>
      <c r="AH10">
        <v>564450.214224</v>
      </c>
      <c r="AI10">
        <v>9</v>
      </c>
      <c r="AJ10">
        <f t="shared" si="1"/>
        <v>5644.5021422400005</v>
      </c>
      <c r="AK10">
        <v>9</v>
      </c>
      <c r="AL10">
        <v>2616933126.5</v>
      </c>
      <c r="AM10">
        <v>9</v>
      </c>
      <c r="AN10">
        <v>3821.6500014364701</v>
      </c>
      <c r="AP10">
        <v>9</v>
      </c>
      <c r="AQ10">
        <f t="shared" si="2"/>
        <v>10001002486647.871</v>
      </c>
    </row>
    <row r="11" spans="1:43" x14ac:dyDescent="0.35">
      <c r="A11" t="s">
        <v>2</v>
      </c>
      <c r="B11">
        <v>117751.946994</v>
      </c>
      <c r="C11">
        <v>73285.080008000004</v>
      </c>
      <c r="D11">
        <v>76938.676982000005</v>
      </c>
      <c r="E11">
        <v>81344.121979000003</v>
      </c>
      <c r="F11">
        <v>89634.003064999997</v>
      </c>
      <c r="G11">
        <v>84722.726011999999</v>
      </c>
      <c r="H11">
        <v>74659.373913999996</v>
      </c>
      <c r="I11">
        <v>141378.73490400001</v>
      </c>
      <c r="J11">
        <v>82589.541096000001</v>
      </c>
      <c r="L11">
        <f t="shared" si="3"/>
        <v>822304.20495399996</v>
      </c>
      <c r="M11">
        <f t="shared" si="4"/>
        <v>10.751396936398553</v>
      </c>
      <c r="N11" t="s">
        <v>2</v>
      </c>
      <c r="O11">
        <f t="shared" si="5"/>
        <v>14.319754937965701</v>
      </c>
      <c r="P11">
        <f t="shared" si="6"/>
        <v>8.9121616509427426</v>
      </c>
      <c r="Q11">
        <f t="shared" si="7"/>
        <v>9.3564737378795204</v>
      </c>
      <c r="R11">
        <f t="shared" si="8"/>
        <v>9.8922176840322038</v>
      </c>
      <c r="S11">
        <f t="shared" si="9"/>
        <v>10.900345945575477</v>
      </c>
      <c r="T11">
        <f t="shared" si="10"/>
        <v>10.30308801798471</v>
      </c>
      <c r="U11">
        <f t="shared" si="11"/>
        <v>9.0792888403357335</v>
      </c>
      <c r="V11">
        <f t="shared" si="12"/>
        <v>17.192996710008167</v>
      </c>
      <c r="W11">
        <f t="shared" si="13"/>
        <v>10.043672475275752</v>
      </c>
      <c r="X11">
        <f t="shared" si="14"/>
        <v>0</v>
      </c>
      <c r="Y11">
        <f t="shared" si="15"/>
        <v>100.00000000000001</v>
      </c>
      <c r="AC11">
        <v>10</v>
      </c>
      <c r="AD11">
        <v>6489.2348629999997</v>
      </c>
      <c r="AE11">
        <v>10</v>
      </c>
      <c r="AF11">
        <v>64.892348630000001</v>
      </c>
      <c r="AG11">
        <v>10</v>
      </c>
      <c r="AH11">
        <v>6489.2348629999997</v>
      </c>
      <c r="AI11">
        <v>10</v>
      </c>
      <c r="AJ11">
        <f t="shared" si="1"/>
        <v>64.892348630000001</v>
      </c>
      <c r="AK11">
        <v>10</v>
      </c>
      <c r="AL11">
        <v>1652284528</v>
      </c>
    </row>
    <row r="12" spans="1:43" x14ac:dyDescent="0.35">
      <c r="A12" t="s">
        <v>11</v>
      </c>
      <c r="B12">
        <v>31269.594002999998</v>
      </c>
      <c r="C12">
        <v>19757.598999000002</v>
      </c>
      <c r="D12">
        <v>19971.953024999999</v>
      </c>
      <c r="E12">
        <v>18170.448004000002</v>
      </c>
      <c r="F12">
        <v>23868.583992</v>
      </c>
      <c r="G12">
        <v>15802.992026</v>
      </c>
      <c r="H12">
        <v>69507.428843999995</v>
      </c>
      <c r="L12">
        <f t="shared" si="3"/>
        <v>198348.59889299999</v>
      </c>
      <c r="M12">
        <f t="shared" si="4"/>
        <v>2.5933523209898213</v>
      </c>
      <c r="N12" t="s">
        <v>11</v>
      </c>
      <c r="O12">
        <f t="shared" si="5"/>
        <v>15.764968433111301</v>
      </c>
      <c r="P12">
        <f t="shared" si="6"/>
        <v>9.9610479273707018</v>
      </c>
      <c r="Q12">
        <f t="shared" si="7"/>
        <v>10.069117269527048</v>
      </c>
      <c r="R12">
        <f t="shared" si="8"/>
        <v>9.1608653176330872</v>
      </c>
      <c r="S12">
        <f t="shared" si="9"/>
        <v>12.033653943215405</v>
      </c>
      <c r="T12">
        <f t="shared" si="10"/>
        <v>7.9672819037784048</v>
      </c>
      <c r="U12">
        <f t="shared" si="11"/>
        <v>35.043065205364051</v>
      </c>
      <c r="V12">
        <f t="shared" si="12"/>
        <v>0</v>
      </c>
      <c r="W12">
        <f t="shared" si="13"/>
        <v>0</v>
      </c>
      <c r="X12">
        <f t="shared" si="14"/>
        <v>0</v>
      </c>
      <c r="Y12">
        <f t="shared" si="15"/>
        <v>100</v>
      </c>
    </row>
    <row r="13" spans="1:43" x14ac:dyDescent="0.35">
      <c r="A13" t="s">
        <v>10</v>
      </c>
      <c r="B13">
        <v>42108.974996999998</v>
      </c>
      <c r="C13">
        <v>26543.809002000002</v>
      </c>
      <c r="D13">
        <v>26620.972988000001</v>
      </c>
      <c r="E13">
        <v>27592.515992000001</v>
      </c>
      <c r="F13">
        <v>30092.839004000001</v>
      </c>
      <c r="G13">
        <v>52373.736980000001</v>
      </c>
      <c r="H13">
        <v>24845.241975000001</v>
      </c>
      <c r="L13">
        <f t="shared" si="3"/>
        <v>230178.09093800001</v>
      </c>
      <c r="M13">
        <f t="shared" si="4"/>
        <v>3.0095140056778846</v>
      </c>
      <c r="N13" t="s">
        <v>10</v>
      </c>
      <c r="O13">
        <f t="shared" si="5"/>
        <v>18.294084734737996</v>
      </c>
      <c r="P13">
        <f t="shared" si="6"/>
        <v>11.531857308326426</v>
      </c>
      <c r="Q13">
        <f t="shared" si="7"/>
        <v>11.565380909849729</v>
      </c>
      <c r="R13">
        <f t="shared" si="8"/>
        <v>11.987464089026712</v>
      </c>
      <c r="S13">
        <f t="shared" si="9"/>
        <v>13.073719953696944</v>
      </c>
      <c r="T13">
        <f t="shared" si="10"/>
        <v>22.75357170900649</v>
      </c>
      <c r="U13">
        <f t="shared" si="11"/>
        <v>10.793921295355705</v>
      </c>
      <c r="V13">
        <f t="shared" si="12"/>
        <v>0</v>
      </c>
      <c r="W13">
        <f t="shared" si="13"/>
        <v>0</v>
      </c>
      <c r="X13">
        <f t="shared" si="14"/>
        <v>0</v>
      </c>
      <c r="Y13">
        <f t="shared" si="15"/>
        <v>100</v>
      </c>
    </row>
    <row r="14" spans="1:43" x14ac:dyDescent="0.35">
      <c r="A14" t="s">
        <v>0</v>
      </c>
      <c r="B14">
        <v>71753.777998000005</v>
      </c>
      <c r="C14">
        <v>44194.941019999998</v>
      </c>
      <c r="D14">
        <v>38707.944022000003</v>
      </c>
      <c r="E14">
        <v>39212.654995999997</v>
      </c>
      <c r="F14">
        <v>43947.517967</v>
      </c>
      <c r="G14">
        <v>44369.152942000001</v>
      </c>
      <c r="H14">
        <v>27679.248973999998</v>
      </c>
      <c r="L14">
        <f t="shared" si="3"/>
        <v>309865.23791899998</v>
      </c>
      <c r="M14">
        <f t="shared" si="4"/>
        <v>4.0514011111558279</v>
      </c>
      <c r="N14" t="s">
        <v>0</v>
      </c>
      <c r="O14">
        <f t="shared" si="5"/>
        <v>23.156446486184016</v>
      </c>
      <c r="P14">
        <f t="shared" si="6"/>
        <v>14.262632787338584</v>
      </c>
      <c r="Q14">
        <f t="shared" si="7"/>
        <v>12.491863973498834</v>
      </c>
      <c r="R14">
        <f t="shared" si="8"/>
        <v>12.654744772064538</v>
      </c>
      <c r="S14">
        <f t="shared" si="9"/>
        <v>14.182784187779093</v>
      </c>
      <c r="T14">
        <f t="shared" si="10"/>
        <v>14.318854622085189</v>
      </c>
      <c r="U14">
        <f t="shared" si="11"/>
        <v>8.9326731710497533</v>
      </c>
      <c r="V14">
        <f t="shared" si="12"/>
        <v>0</v>
      </c>
      <c r="W14">
        <f t="shared" si="13"/>
        <v>0</v>
      </c>
      <c r="X14">
        <f t="shared" si="14"/>
        <v>0</v>
      </c>
      <c r="Y14">
        <f t="shared" si="15"/>
        <v>100.00000000000001</v>
      </c>
    </row>
    <row r="15" spans="1:43" x14ac:dyDescent="0.35">
      <c r="A15" t="s">
        <v>1</v>
      </c>
      <c r="B15">
        <v>7494.8150009999999</v>
      </c>
      <c r="C15">
        <v>4083.7060040000001</v>
      </c>
      <c r="D15">
        <v>3459.2420029999998</v>
      </c>
      <c r="E15">
        <v>4192.5729929999998</v>
      </c>
      <c r="F15">
        <v>2907.9009959999999</v>
      </c>
      <c r="G15">
        <v>11952.614987999999</v>
      </c>
      <c r="L15">
        <f t="shared" si="3"/>
        <v>34090.851985000001</v>
      </c>
      <c r="M15">
        <f t="shared" si="4"/>
        <v>0.4457283319027282</v>
      </c>
      <c r="N15" t="s">
        <v>1</v>
      </c>
      <c r="O15">
        <f t="shared" si="5"/>
        <v>21.984827496531103</v>
      </c>
      <c r="P15">
        <f t="shared" si="6"/>
        <v>11.978891010986858</v>
      </c>
      <c r="Q15">
        <f t="shared" si="7"/>
        <v>10.147126872986538</v>
      </c>
      <c r="R15">
        <f t="shared" si="8"/>
        <v>12.298234713654956</v>
      </c>
      <c r="S15">
        <f t="shared" si="9"/>
        <v>8.529857210020678</v>
      </c>
      <c r="T15">
        <f t="shared" si="10"/>
        <v>35.061062695819864</v>
      </c>
      <c r="U15">
        <f t="shared" si="11"/>
        <v>0</v>
      </c>
      <c r="V15">
        <f t="shared" si="12"/>
        <v>0</v>
      </c>
      <c r="W15">
        <f t="shared" si="13"/>
        <v>0</v>
      </c>
      <c r="X15">
        <f t="shared" si="14"/>
        <v>0</v>
      </c>
      <c r="Y15">
        <f t="shared" si="15"/>
        <v>100</v>
      </c>
    </row>
    <row r="16" spans="1:43" x14ac:dyDescent="0.35">
      <c r="B16">
        <f>SUM(B3:B15)</f>
        <v>1104972.0139079997</v>
      </c>
      <c r="C16">
        <f t="shared" ref="C16:K16" si="16">SUM(C3:C15)</f>
        <v>706114.21409600019</v>
      </c>
      <c r="D16">
        <f t="shared" si="16"/>
        <v>677041.0530800001</v>
      </c>
      <c r="E16">
        <f t="shared" si="16"/>
        <v>725104.30585100013</v>
      </c>
      <c r="F16">
        <f t="shared" si="16"/>
        <v>855051.77802199998</v>
      </c>
      <c r="G16">
        <f t="shared" si="16"/>
        <v>1027929.468924</v>
      </c>
      <c r="H16">
        <f t="shared" si="16"/>
        <v>921446.87735099986</v>
      </c>
      <c r="I16">
        <f t="shared" si="16"/>
        <v>943059.81469299993</v>
      </c>
      <c r="J16">
        <f t="shared" si="16"/>
        <v>681138.79645000002</v>
      </c>
      <c r="K16">
        <f t="shared" si="16"/>
        <v>6489.2348629999997</v>
      </c>
      <c r="L16">
        <f>SUM(L3:L15)</f>
        <v>7648347.5572380004</v>
      </c>
      <c r="M16">
        <f t="shared" si="4"/>
        <v>100</v>
      </c>
      <c r="U16">
        <f>(H16/$L16)*100</f>
        <v>12.047659582088293</v>
      </c>
      <c r="V16">
        <f>(I16/$L16)*100</f>
        <v>12.330242678374846</v>
      </c>
      <c r="W16">
        <f>(J16/$L16)*100</f>
        <v>8.90569879771488</v>
      </c>
      <c r="X16">
        <f>(K16/$L16)*100</f>
        <v>8.4844926494729217E-2</v>
      </c>
    </row>
    <row r="19" spans="1:12" x14ac:dyDescent="0.35"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 t="s">
        <v>264</v>
      </c>
    </row>
    <row r="20" spans="1:12" x14ac:dyDescent="0.35">
      <c r="B20">
        <v>1104972.0139079997</v>
      </c>
      <c r="C20">
        <v>706114.21409600019</v>
      </c>
      <c r="D20">
        <v>677041.0530800001</v>
      </c>
      <c r="E20">
        <v>725104.30585100013</v>
      </c>
      <c r="F20">
        <v>855051.77802199998</v>
      </c>
      <c r="G20">
        <v>1027929.468924</v>
      </c>
      <c r="H20">
        <v>921446.87735099986</v>
      </c>
      <c r="I20">
        <v>943059.81469299993</v>
      </c>
      <c r="J20">
        <v>681138.79645000002</v>
      </c>
      <c r="K20">
        <v>6489.2348629999997</v>
      </c>
      <c r="L20">
        <v>7648347.5572380004</v>
      </c>
    </row>
    <row r="22" spans="1:12" x14ac:dyDescent="0.35">
      <c r="A22" t="s">
        <v>265</v>
      </c>
      <c r="B22">
        <f>SUM(B20:F20)</f>
        <v>4068283.3649570006</v>
      </c>
    </row>
    <row r="23" spans="1:12" x14ac:dyDescent="0.35">
      <c r="A23" t="s">
        <v>266</v>
      </c>
      <c r="B23">
        <f>SUM(G20:K20)</f>
        <v>3580064.1922810003</v>
      </c>
    </row>
    <row r="25" spans="1:12" x14ac:dyDescent="0.35">
      <c r="A25" t="s">
        <v>267</v>
      </c>
      <c r="B25">
        <f>(B22/L20)*100</f>
        <v>53.191664402162111</v>
      </c>
    </row>
    <row r="26" spans="1:12" x14ac:dyDescent="0.35">
      <c r="A26" t="s">
        <v>268</v>
      </c>
      <c r="B26">
        <f>(B23/L20)*100</f>
        <v>46.808335597837896</v>
      </c>
    </row>
  </sheetData>
  <sortState xmlns:xlrd2="http://schemas.microsoft.com/office/spreadsheetml/2017/richdata2" ref="A3:X17">
    <sortCondition ref="A5:A1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183E-E1A2-46CB-87FA-BAE6241EE6AA}">
  <dimension ref="A1:Y28"/>
  <sheetViews>
    <sheetView zoomScaleNormal="100" workbookViewId="0">
      <selection activeCell="N24" sqref="N24"/>
    </sheetView>
  </sheetViews>
  <sheetFormatPr defaultRowHeight="14.5" x14ac:dyDescent="0.35"/>
  <cols>
    <col min="1" max="1" width="19.6328125" customWidth="1"/>
    <col min="2" max="2" width="11.6328125" bestFit="1" customWidth="1"/>
    <col min="12" max="12" width="11.81640625" bestFit="1" customWidth="1"/>
    <col min="13" max="14" width="11.81640625" customWidth="1"/>
  </cols>
  <sheetData>
    <row r="1" spans="1:25" x14ac:dyDescent="0.35">
      <c r="B1" t="s">
        <v>15</v>
      </c>
      <c r="J1" t="s">
        <v>19</v>
      </c>
      <c r="P1" t="s">
        <v>14</v>
      </c>
    </row>
    <row r="2" spans="1:25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t="s">
        <v>9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>
        <v>10</v>
      </c>
    </row>
    <row r="3" spans="1:25" x14ac:dyDescent="0.35">
      <c r="A3" t="s">
        <v>8</v>
      </c>
      <c r="B3">
        <v>1112399.1360460001</v>
      </c>
      <c r="C3">
        <v>1504280.620836</v>
      </c>
      <c r="D3">
        <v>2628699.7792699998</v>
      </c>
      <c r="E3">
        <v>5175804.7602040004</v>
      </c>
      <c r="F3">
        <v>11159768.738208</v>
      </c>
      <c r="G3">
        <v>23599281.531799</v>
      </c>
      <c r="H3">
        <v>33262226.766830001</v>
      </c>
      <c r="I3">
        <v>58801312.490601003</v>
      </c>
      <c r="J3">
        <v>85439082.063232005</v>
      </c>
      <c r="K3">
        <v>84601230.533203006</v>
      </c>
      <c r="L3">
        <f>SUM(B3:K3)</f>
        <v>307284086.42022902</v>
      </c>
      <c r="M3">
        <f>(L3/L$16)*100</f>
        <v>75.01312975595792</v>
      </c>
      <c r="O3" t="s">
        <v>8</v>
      </c>
      <c r="P3">
        <f>(B3/$L3)*100</f>
        <v>0.36201000481513024</v>
      </c>
      <c r="Q3">
        <f t="shared" ref="Q3:Y3" si="0">(C3/$L3)*100</f>
        <v>0.48954068476517454</v>
      </c>
      <c r="R3">
        <f t="shared" si="0"/>
        <v>0.85546238657966123</v>
      </c>
      <c r="S3">
        <f t="shared" si="0"/>
        <v>1.6843712346124504</v>
      </c>
      <c r="T3">
        <f t="shared" si="0"/>
        <v>3.631743143036168</v>
      </c>
      <c r="U3">
        <f t="shared" si="0"/>
        <v>7.6799556419350656</v>
      </c>
      <c r="V3">
        <f t="shared" si="0"/>
        <v>10.82458488310454</v>
      </c>
      <c r="W3">
        <f t="shared" si="0"/>
        <v>19.135814410573399</v>
      </c>
      <c r="X3">
        <f t="shared" si="0"/>
        <v>27.804590552857022</v>
      </c>
      <c r="Y3">
        <f t="shared" si="0"/>
        <v>27.53192705772139</v>
      </c>
    </row>
    <row r="4" spans="1:25" x14ac:dyDescent="0.35">
      <c r="A4" t="s">
        <v>12</v>
      </c>
      <c r="B4">
        <v>46650.068009000002</v>
      </c>
      <c r="C4">
        <v>59052.765980999997</v>
      </c>
      <c r="D4">
        <v>99060.003943000003</v>
      </c>
      <c r="E4">
        <v>263672.20282399998</v>
      </c>
      <c r="F4">
        <v>478283.08121999999</v>
      </c>
      <c r="G4">
        <v>568732.29052399995</v>
      </c>
      <c r="H4">
        <v>311996.63909900002</v>
      </c>
      <c r="L4">
        <f t="shared" ref="L4:L15" si="1">SUM(B4:K4)</f>
        <v>1827447.0515999999</v>
      </c>
      <c r="M4">
        <f t="shared" ref="M4:M16" si="2">(L4/L$16)*100</f>
        <v>0.4461100618674575</v>
      </c>
      <c r="O4" t="s">
        <v>12</v>
      </c>
      <c r="P4">
        <f t="shared" ref="P4:P15" si="3">(B4/$L4)*100</f>
        <v>2.552745261109266</v>
      </c>
      <c r="Q4">
        <f t="shared" ref="Q4:Q15" si="4">(C4/$L4)*100</f>
        <v>3.2314351285470644</v>
      </c>
      <c r="R4">
        <f t="shared" ref="R4:R15" si="5">(D4/$L4)*100</f>
        <v>5.4206771055976244</v>
      </c>
      <c r="S4">
        <f t="shared" ref="S4:S15" si="6">(E4/$L4)*100</f>
        <v>14.428445551576713</v>
      </c>
      <c r="T4">
        <f t="shared" ref="T4:T15" si="7">(F4/$L4)*100</f>
        <v>26.172199123429863</v>
      </c>
      <c r="U4">
        <f t="shared" ref="U4:U15" si="8">(G4/$L4)*100</f>
        <v>31.121683663887996</v>
      </c>
      <c r="V4">
        <f t="shared" ref="V4:V16" si="9">(H4/$L4)*100</f>
        <v>17.072814165851483</v>
      </c>
      <c r="W4">
        <f t="shared" ref="W4:W16" si="10">(I4/$L4)*100</f>
        <v>0</v>
      </c>
      <c r="X4">
        <f t="shared" ref="X4:X16" si="11">(J4/$L4)*100</f>
        <v>0</v>
      </c>
      <c r="Y4">
        <f t="shared" ref="Y4:Y16" si="12">(K4/$L4)*100</f>
        <v>0</v>
      </c>
    </row>
    <row r="5" spans="1:25" x14ac:dyDescent="0.35">
      <c r="A5" t="s">
        <v>7</v>
      </c>
      <c r="B5">
        <v>101170.499989</v>
      </c>
      <c r="C5">
        <v>123976.78896400001</v>
      </c>
      <c r="D5">
        <v>206528.10201</v>
      </c>
      <c r="E5">
        <v>444628.84959599999</v>
      </c>
      <c r="F5">
        <v>1040915.940793</v>
      </c>
      <c r="G5">
        <v>1598569.55571</v>
      </c>
      <c r="H5">
        <v>1454357.8112339999</v>
      </c>
      <c r="L5">
        <f t="shared" si="1"/>
        <v>4970147.5482959999</v>
      </c>
      <c r="M5">
        <f t="shared" si="2"/>
        <v>1.2132952516022002</v>
      </c>
      <c r="O5" t="s">
        <v>7</v>
      </c>
      <c r="P5">
        <f t="shared" si="3"/>
        <v>2.0355633108656099</v>
      </c>
      <c r="Q5">
        <f t="shared" si="4"/>
        <v>2.4944287419898648</v>
      </c>
      <c r="R5">
        <f t="shared" si="5"/>
        <v>4.1553716464777297</v>
      </c>
      <c r="S5">
        <f t="shared" si="6"/>
        <v>8.9459889324299766</v>
      </c>
      <c r="T5">
        <f t="shared" si="7"/>
        <v>20.94336095011656</v>
      </c>
      <c r="U5">
        <f t="shared" si="8"/>
        <v>32.163422517668813</v>
      </c>
      <c r="V5">
        <f t="shared" si="9"/>
        <v>29.261863900451445</v>
      </c>
      <c r="W5">
        <f t="shared" si="10"/>
        <v>0</v>
      </c>
      <c r="X5">
        <f t="shared" si="11"/>
        <v>0</v>
      </c>
      <c r="Y5">
        <f t="shared" si="12"/>
        <v>0</v>
      </c>
    </row>
    <row r="6" spans="1:25" x14ac:dyDescent="0.35">
      <c r="A6" t="s">
        <v>3</v>
      </c>
      <c r="B6">
        <v>47556.858005000002</v>
      </c>
      <c r="C6">
        <v>70742.294057000006</v>
      </c>
      <c r="D6">
        <v>123169.39105000001</v>
      </c>
      <c r="E6">
        <v>186310.473917</v>
      </c>
      <c r="F6">
        <v>431287.683976</v>
      </c>
      <c r="G6">
        <v>1348126.9572409999</v>
      </c>
      <c r="H6">
        <v>1273007.8862920001</v>
      </c>
      <c r="I6">
        <v>1193424.0726320001</v>
      </c>
      <c r="L6">
        <f t="shared" si="1"/>
        <v>4673625.6171699995</v>
      </c>
      <c r="M6">
        <f t="shared" si="2"/>
        <v>1.1409093420220235</v>
      </c>
      <c r="O6" t="s">
        <v>3</v>
      </c>
      <c r="P6">
        <f t="shared" si="3"/>
        <v>1.0175581422329867</v>
      </c>
      <c r="Q6">
        <f t="shared" si="4"/>
        <v>1.5136491420516538</v>
      </c>
      <c r="R6">
        <f t="shared" si="5"/>
        <v>2.6354141546447241</v>
      </c>
      <c r="S6">
        <f t="shared" si="6"/>
        <v>3.9864227299792958</v>
      </c>
      <c r="T6">
        <f t="shared" si="7"/>
        <v>9.2281179389194588</v>
      </c>
      <c r="U6">
        <f t="shared" si="8"/>
        <v>28.845420400988932</v>
      </c>
      <c r="V6">
        <f t="shared" si="9"/>
        <v>27.238122831559604</v>
      </c>
      <c r="W6">
        <f t="shared" si="10"/>
        <v>25.535294659623357</v>
      </c>
      <c r="X6">
        <f t="shared" si="11"/>
        <v>0</v>
      </c>
      <c r="Y6">
        <f t="shared" si="12"/>
        <v>0</v>
      </c>
    </row>
    <row r="7" spans="1:25" x14ac:dyDescent="0.35">
      <c r="A7" t="s">
        <v>4</v>
      </c>
      <c r="B7">
        <v>20921.637997999998</v>
      </c>
      <c r="C7">
        <v>28466.901990999999</v>
      </c>
      <c r="D7">
        <v>53942.590021000004</v>
      </c>
      <c r="E7">
        <v>78711.441965000005</v>
      </c>
      <c r="F7">
        <v>107340.28432200001</v>
      </c>
      <c r="G7">
        <v>102715.51904100001</v>
      </c>
      <c r="L7">
        <f t="shared" si="1"/>
        <v>392098.37533800001</v>
      </c>
      <c r="M7">
        <f t="shared" si="2"/>
        <v>9.5717701000976443E-2</v>
      </c>
      <c r="O7" t="s">
        <v>4</v>
      </c>
      <c r="P7">
        <f t="shared" si="3"/>
        <v>5.3358134881239812</v>
      </c>
      <c r="Q7">
        <f t="shared" si="4"/>
        <v>7.2601428063711602</v>
      </c>
      <c r="R7">
        <f t="shared" si="5"/>
        <v>13.757412275554559</v>
      </c>
      <c r="S7">
        <f t="shared" si="6"/>
        <v>20.074411656806404</v>
      </c>
      <c r="T7">
        <f t="shared" si="7"/>
        <v>27.375855416250989</v>
      </c>
      <c r="U7">
        <f t="shared" si="8"/>
        <v>26.196364356892911</v>
      </c>
      <c r="V7">
        <f t="shared" si="9"/>
        <v>0</v>
      </c>
      <c r="W7">
        <f t="shared" si="10"/>
        <v>0</v>
      </c>
      <c r="X7">
        <f t="shared" si="11"/>
        <v>0</v>
      </c>
      <c r="Y7">
        <f t="shared" si="12"/>
        <v>0</v>
      </c>
    </row>
    <row r="8" spans="1:25" x14ac:dyDescent="0.35">
      <c r="A8" t="s">
        <v>5</v>
      </c>
      <c r="B8">
        <v>42053.817007999998</v>
      </c>
      <c r="C8">
        <v>50419.186969000002</v>
      </c>
      <c r="D8">
        <v>94597.602847000002</v>
      </c>
      <c r="E8">
        <v>162585.39977700001</v>
      </c>
      <c r="F8">
        <v>115042.14202499999</v>
      </c>
      <c r="G8">
        <v>282652.080434</v>
      </c>
      <c r="H8">
        <v>174004.91744200001</v>
      </c>
      <c r="I8">
        <v>506432.02844199998</v>
      </c>
      <c r="L8">
        <f t="shared" si="1"/>
        <v>1427787.1749440001</v>
      </c>
      <c r="M8">
        <f t="shared" si="2"/>
        <v>0.34854647328367511</v>
      </c>
      <c r="O8" t="s">
        <v>5</v>
      </c>
      <c r="P8">
        <f t="shared" si="3"/>
        <v>2.9453841402973389</v>
      </c>
      <c r="Q8">
        <f t="shared" si="4"/>
        <v>3.531281682158093</v>
      </c>
      <c r="R8">
        <f t="shared" si="5"/>
        <v>6.6254694331954802</v>
      </c>
      <c r="S8">
        <f t="shared" si="6"/>
        <v>11.387229317519038</v>
      </c>
      <c r="T8">
        <f t="shared" si="7"/>
        <v>8.057373258693973</v>
      </c>
      <c r="U8">
        <f t="shared" si="8"/>
        <v>19.796513471630394</v>
      </c>
      <c r="V8">
        <f t="shared" si="9"/>
        <v>12.187034629220895</v>
      </c>
      <c r="W8">
        <f t="shared" si="10"/>
        <v>35.469714067284777</v>
      </c>
      <c r="X8">
        <f t="shared" si="11"/>
        <v>0</v>
      </c>
      <c r="Y8">
        <f t="shared" si="12"/>
        <v>0</v>
      </c>
    </row>
    <row r="9" spans="1:25" x14ac:dyDescent="0.35">
      <c r="A9" t="s">
        <v>13</v>
      </c>
      <c r="B9">
        <v>61528.471031000001</v>
      </c>
      <c r="C9">
        <v>87189.313020999994</v>
      </c>
      <c r="D9">
        <v>147233.20899899999</v>
      </c>
      <c r="E9">
        <v>330923.13190199999</v>
      </c>
      <c r="F9">
        <v>487351.04831599997</v>
      </c>
      <c r="G9">
        <v>361519.74490699999</v>
      </c>
      <c r="H9">
        <v>296695.85363799997</v>
      </c>
      <c r="L9">
        <f t="shared" si="1"/>
        <v>1772440.7718139999</v>
      </c>
      <c r="M9">
        <f t="shared" si="2"/>
        <v>0.43268211884883678</v>
      </c>
      <c r="O9" t="s">
        <v>13</v>
      </c>
      <c r="P9">
        <f t="shared" si="3"/>
        <v>3.4713978604785112</v>
      </c>
      <c r="Q9">
        <f t="shared" si="4"/>
        <v>4.9191665192719709</v>
      </c>
      <c r="R9">
        <f t="shared" si="5"/>
        <v>8.3068055835972761</v>
      </c>
      <c r="S9">
        <f t="shared" si="6"/>
        <v>18.670476168482491</v>
      </c>
      <c r="T9">
        <f t="shared" si="7"/>
        <v>27.496041394783639</v>
      </c>
      <c r="U9">
        <f t="shared" si="8"/>
        <v>20.396717941497336</v>
      </c>
      <c r="V9">
        <f t="shared" si="9"/>
        <v>16.739394531888781</v>
      </c>
      <c r="W9">
        <f t="shared" si="10"/>
        <v>0</v>
      </c>
      <c r="X9">
        <f t="shared" si="11"/>
        <v>0</v>
      </c>
      <c r="Y9">
        <f t="shared" si="12"/>
        <v>0</v>
      </c>
    </row>
    <row r="10" spans="1:25" x14ac:dyDescent="0.35">
      <c r="A10" t="s">
        <v>6</v>
      </c>
      <c r="B10">
        <v>189138.98397900001</v>
      </c>
      <c r="C10">
        <v>262444.03997300001</v>
      </c>
      <c r="D10">
        <v>501805.45188000001</v>
      </c>
      <c r="E10">
        <v>946299.42871200002</v>
      </c>
      <c r="F10">
        <v>1835966.2669249999</v>
      </c>
      <c r="G10">
        <v>4092832.8054809999</v>
      </c>
      <c r="H10">
        <v>7899721.3255620003</v>
      </c>
      <c r="I10">
        <v>18858638.674927</v>
      </c>
      <c r="J10">
        <v>5547502.7226560004</v>
      </c>
      <c r="L10">
        <f t="shared" si="1"/>
        <v>40134349.700094998</v>
      </c>
      <c r="M10">
        <f t="shared" si="2"/>
        <v>9.7974588166828802</v>
      </c>
      <c r="O10" t="s">
        <v>6</v>
      </c>
      <c r="P10">
        <f t="shared" si="3"/>
        <v>0.47126460349388027</v>
      </c>
      <c r="Q10">
        <f t="shared" si="4"/>
        <v>0.65391377195375067</v>
      </c>
      <c r="R10">
        <f t="shared" si="5"/>
        <v>1.250314146435048</v>
      </c>
      <c r="S10">
        <f t="shared" si="6"/>
        <v>2.357829230530077</v>
      </c>
      <c r="T10">
        <f t="shared" si="7"/>
        <v>4.5745509286790664</v>
      </c>
      <c r="U10">
        <f t="shared" si="8"/>
        <v>10.197830128218852</v>
      </c>
      <c r="V10">
        <f t="shared" si="9"/>
        <v>19.683192538543366</v>
      </c>
      <c r="W10">
        <f t="shared" si="10"/>
        <v>46.988773496639865</v>
      </c>
      <c r="X10">
        <f t="shared" si="11"/>
        <v>13.822331155506101</v>
      </c>
      <c r="Y10">
        <f t="shared" si="12"/>
        <v>0</v>
      </c>
    </row>
    <row r="11" spans="1:25" x14ac:dyDescent="0.35">
      <c r="A11" t="s">
        <v>2</v>
      </c>
      <c r="B11">
        <v>185016.12001899999</v>
      </c>
      <c r="C11">
        <v>251490.498934</v>
      </c>
      <c r="D11">
        <v>493958.28281300003</v>
      </c>
      <c r="E11">
        <v>950058.680008</v>
      </c>
      <c r="F11">
        <v>1783912.2328069999</v>
      </c>
      <c r="G11">
        <v>2557982.74829</v>
      </c>
      <c r="H11">
        <v>3487382.0693279998</v>
      </c>
      <c r="I11">
        <v>11967316.29425</v>
      </c>
      <c r="J11">
        <v>9040911.7385249995</v>
      </c>
      <c r="L11">
        <f t="shared" si="1"/>
        <v>30718028.664974</v>
      </c>
      <c r="M11">
        <f t="shared" si="2"/>
        <v>7.4987790514531403</v>
      </c>
      <c r="O11" t="s">
        <v>2</v>
      </c>
      <c r="P11">
        <f t="shared" si="3"/>
        <v>0.60230466621695433</v>
      </c>
      <c r="Q11">
        <f t="shared" si="4"/>
        <v>0.81870650515005261</v>
      </c>
      <c r="R11">
        <f t="shared" si="5"/>
        <v>1.6080403081862875</v>
      </c>
      <c r="S11">
        <f t="shared" si="6"/>
        <v>3.0928374029785877</v>
      </c>
      <c r="T11">
        <f t="shared" si="7"/>
        <v>5.8073786318231164</v>
      </c>
      <c r="U11">
        <f t="shared" si="8"/>
        <v>8.3273011305140177</v>
      </c>
      <c r="V11">
        <f t="shared" si="9"/>
        <v>11.352883700198056</v>
      </c>
      <c r="W11">
        <f t="shared" si="10"/>
        <v>38.958607743913078</v>
      </c>
      <c r="X11">
        <f t="shared" si="11"/>
        <v>29.431939911019846</v>
      </c>
      <c r="Y11">
        <f t="shared" si="12"/>
        <v>0</v>
      </c>
    </row>
    <row r="12" spans="1:25" x14ac:dyDescent="0.35">
      <c r="A12" t="s">
        <v>11</v>
      </c>
      <c r="B12">
        <v>54080.669040000001</v>
      </c>
      <c r="C12">
        <v>77317.592030999993</v>
      </c>
      <c r="D12">
        <v>144709.11302300001</v>
      </c>
      <c r="E12">
        <v>226281.12381700001</v>
      </c>
      <c r="F12">
        <v>515526.19856599998</v>
      </c>
      <c r="G12">
        <v>588000.12089499994</v>
      </c>
      <c r="H12">
        <v>4681601.8579099998</v>
      </c>
      <c r="L12">
        <f t="shared" si="1"/>
        <v>6287516.6752819996</v>
      </c>
      <c r="M12">
        <f t="shared" si="2"/>
        <v>1.5348868524244819</v>
      </c>
      <c r="O12" t="s">
        <v>11</v>
      </c>
      <c r="P12">
        <f t="shared" si="3"/>
        <v>0.86012764391713437</v>
      </c>
      <c r="Q12">
        <f t="shared" si="4"/>
        <v>1.2296999916510321</v>
      </c>
      <c r="R12">
        <f t="shared" si="5"/>
        <v>2.3015304848715923</v>
      </c>
      <c r="S12">
        <f t="shared" si="6"/>
        <v>3.5988950090037122</v>
      </c>
      <c r="T12">
        <f t="shared" si="7"/>
        <v>8.1992020886827834</v>
      </c>
      <c r="U12">
        <f t="shared" si="8"/>
        <v>9.3518657883897802</v>
      </c>
      <c r="V12">
        <f t="shared" si="9"/>
        <v>74.458678993483957</v>
      </c>
      <c r="W12">
        <f t="shared" si="10"/>
        <v>0</v>
      </c>
      <c r="X12">
        <f t="shared" si="11"/>
        <v>0</v>
      </c>
      <c r="Y12">
        <f t="shared" si="12"/>
        <v>0</v>
      </c>
    </row>
    <row r="13" spans="1:25" x14ac:dyDescent="0.35">
      <c r="A13" t="s">
        <v>10</v>
      </c>
      <c r="B13">
        <v>72990.634974000001</v>
      </c>
      <c r="C13">
        <v>98728.584034</v>
      </c>
      <c r="D13">
        <v>184854.700996</v>
      </c>
      <c r="E13">
        <v>340239.22612399998</v>
      </c>
      <c r="F13">
        <v>634586.29959299997</v>
      </c>
      <c r="G13">
        <v>2346176.5859150002</v>
      </c>
      <c r="H13">
        <v>1699465.1631769999</v>
      </c>
      <c r="L13">
        <f t="shared" si="1"/>
        <v>5377041.194813</v>
      </c>
      <c r="M13">
        <f t="shared" si="2"/>
        <v>1.3126247230975561</v>
      </c>
      <c r="O13" t="s">
        <v>10</v>
      </c>
      <c r="P13">
        <f t="shared" si="3"/>
        <v>1.3574498005410656</v>
      </c>
      <c r="Q13">
        <f t="shared" si="4"/>
        <v>1.8361135884404085</v>
      </c>
      <c r="R13">
        <f t="shared" si="5"/>
        <v>3.4378516789925539</v>
      </c>
      <c r="S13">
        <f t="shared" si="6"/>
        <v>6.3276291513670024</v>
      </c>
      <c r="T13">
        <f t="shared" si="7"/>
        <v>11.801774927913106</v>
      </c>
      <c r="U13">
        <f t="shared" si="8"/>
        <v>43.633226916287263</v>
      </c>
      <c r="V13">
        <f t="shared" si="9"/>
        <v>31.605953936458597</v>
      </c>
      <c r="W13">
        <f t="shared" si="10"/>
        <v>0</v>
      </c>
      <c r="X13">
        <f t="shared" si="11"/>
        <v>0</v>
      </c>
      <c r="Y13">
        <f t="shared" si="12"/>
        <v>0</v>
      </c>
    </row>
    <row r="14" spans="1:25" x14ac:dyDescent="0.35">
      <c r="A14" t="s">
        <v>0</v>
      </c>
      <c r="B14">
        <v>119863.332971</v>
      </c>
      <c r="C14">
        <v>155621.67508099999</v>
      </c>
      <c r="D14">
        <v>248115.78102699999</v>
      </c>
      <c r="E14">
        <v>457324.55493500002</v>
      </c>
      <c r="F14">
        <v>879870.969285</v>
      </c>
      <c r="G14">
        <v>1336977.806046</v>
      </c>
      <c r="H14">
        <v>1013607.691808</v>
      </c>
      <c r="L14">
        <f t="shared" si="1"/>
        <v>4211381.8111530002</v>
      </c>
      <c r="M14">
        <f t="shared" si="2"/>
        <v>1.028067980780095</v>
      </c>
      <c r="O14" t="s">
        <v>0</v>
      </c>
      <c r="P14">
        <f t="shared" si="3"/>
        <v>2.8461758716240357</v>
      </c>
      <c r="Q14">
        <f t="shared" si="4"/>
        <v>3.6952639788885251</v>
      </c>
      <c r="R14">
        <f t="shared" si="5"/>
        <v>5.8915527528260467</v>
      </c>
      <c r="S14">
        <f t="shared" si="6"/>
        <v>10.859251795310215</v>
      </c>
      <c r="T14">
        <f t="shared" si="7"/>
        <v>20.892690540545107</v>
      </c>
      <c r="U14">
        <f t="shared" si="8"/>
        <v>31.746772579614664</v>
      </c>
      <c r="V14">
        <f t="shared" si="9"/>
        <v>24.068292481191406</v>
      </c>
      <c r="W14">
        <f t="shared" si="10"/>
        <v>0</v>
      </c>
      <c r="X14">
        <f t="shared" si="11"/>
        <v>0</v>
      </c>
      <c r="Y14">
        <f t="shared" si="12"/>
        <v>0</v>
      </c>
    </row>
    <row r="15" spans="1:25" x14ac:dyDescent="0.35">
      <c r="A15" t="s">
        <v>1</v>
      </c>
      <c r="B15">
        <v>11962.723980999999</v>
      </c>
      <c r="C15">
        <v>12883.73403</v>
      </c>
      <c r="D15">
        <v>19487.340027999999</v>
      </c>
      <c r="E15">
        <v>45797.837950000001</v>
      </c>
      <c r="F15">
        <v>47603.422005</v>
      </c>
      <c r="G15">
        <v>426716.11645500001</v>
      </c>
      <c r="L15">
        <f t="shared" si="1"/>
        <v>564451.17444900004</v>
      </c>
      <c r="M15">
        <f t="shared" si="2"/>
        <v>0.13779187097877091</v>
      </c>
      <c r="O15" t="s">
        <v>1</v>
      </c>
      <c r="P15">
        <f t="shared" si="3"/>
        <v>2.1193549632840507</v>
      </c>
      <c r="Q15">
        <f t="shared" si="4"/>
        <v>2.2825240894532119</v>
      </c>
      <c r="R15">
        <f t="shared" si="5"/>
        <v>3.4524403367612697</v>
      </c>
      <c r="S15">
        <f t="shared" si="6"/>
        <v>8.1136934465069448</v>
      </c>
      <c r="T15">
        <f t="shared" si="7"/>
        <v>8.4335765713427744</v>
      </c>
      <c r="U15">
        <f t="shared" si="8"/>
        <v>75.598410592651746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0</v>
      </c>
    </row>
    <row r="16" spans="1:25" x14ac:dyDescent="0.35">
      <c r="B16">
        <f>SUM(B3:B15)</f>
        <v>2065332.9530500001</v>
      </c>
      <c r="C16">
        <f t="shared" ref="C16:K16" si="13">SUM(C3:C15)</f>
        <v>2782613.995902</v>
      </c>
      <c r="D16">
        <f t="shared" si="13"/>
        <v>4946161.3479070002</v>
      </c>
      <c r="E16">
        <f t="shared" si="13"/>
        <v>9608637.1117310021</v>
      </c>
      <c r="F16">
        <f t="shared" si="13"/>
        <v>19517454.308041003</v>
      </c>
      <c r="G16">
        <f t="shared" si="13"/>
        <v>39210283.862737998</v>
      </c>
      <c r="H16">
        <f t="shared" si="13"/>
        <v>55554067.982320003</v>
      </c>
      <c r="I16">
        <f t="shared" si="13"/>
        <v>91327123.560852006</v>
      </c>
      <c r="J16">
        <f t="shared" si="13"/>
        <v>100027496.524413</v>
      </c>
      <c r="K16">
        <f t="shared" si="13"/>
        <v>84601230.533203006</v>
      </c>
      <c r="L16">
        <f>SUM(L3:L15)</f>
        <v>409640402.18015695</v>
      </c>
      <c r="M16">
        <f t="shared" si="2"/>
        <v>100</v>
      </c>
      <c r="V16">
        <f t="shared" si="9"/>
        <v>13.561667180935858</v>
      </c>
      <c r="W16">
        <f t="shared" si="10"/>
        <v>22.294461941448585</v>
      </c>
      <c r="X16">
        <f t="shared" si="11"/>
        <v>24.418366936477526</v>
      </c>
      <c r="Y16">
        <f t="shared" si="12"/>
        <v>20.652560168124236</v>
      </c>
    </row>
    <row r="21" spans="1:12" x14ac:dyDescent="0.35"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 t="s">
        <v>211</v>
      </c>
    </row>
    <row r="22" spans="1:12" x14ac:dyDescent="0.35">
      <c r="B22">
        <v>2065332.9530500001</v>
      </c>
      <c r="C22">
        <v>2782613.995902</v>
      </c>
      <c r="D22">
        <v>4946161.3479070002</v>
      </c>
      <c r="E22">
        <v>9608637.1117310021</v>
      </c>
      <c r="F22">
        <v>19517454.308041003</v>
      </c>
      <c r="G22">
        <v>39210283.862737998</v>
      </c>
      <c r="H22">
        <v>55554067.982320003</v>
      </c>
      <c r="I22">
        <v>91327123.560852006</v>
      </c>
      <c r="J22">
        <v>100027496.524413</v>
      </c>
      <c r="K22">
        <v>84601230.533203006</v>
      </c>
      <c r="L22">
        <f>SUM(B22:K22)</f>
        <v>409640402.18015701</v>
      </c>
    </row>
    <row r="24" spans="1:12" x14ac:dyDescent="0.35">
      <c r="A24" t="s">
        <v>260</v>
      </c>
      <c r="B24">
        <f>SUM(B22:F22)</f>
        <v>38920199.71663101</v>
      </c>
    </row>
    <row r="25" spans="1:12" x14ac:dyDescent="0.35">
      <c r="A25" t="s">
        <v>261</v>
      </c>
      <c r="B25">
        <f>SUM(G22:K22)</f>
        <v>370720202.46352601</v>
      </c>
    </row>
    <row r="27" spans="1:12" x14ac:dyDescent="0.35">
      <c r="A27" t="s">
        <v>262</v>
      </c>
      <c r="B27">
        <f>(B24/L22)*100</f>
        <v>9.5010647166375382</v>
      </c>
      <c r="D27">
        <f>B28/B27</f>
        <v>9.525136180252268</v>
      </c>
    </row>
    <row r="28" spans="1:12" x14ac:dyDescent="0.35">
      <c r="A28" t="s">
        <v>263</v>
      </c>
      <c r="B28">
        <f>(B25/L22)*100</f>
        <v>90.498935283362471</v>
      </c>
    </row>
  </sheetData>
  <sortState xmlns:xlrd2="http://schemas.microsoft.com/office/spreadsheetml/2017/richdata2" ref="A3:Y15">
    <sortCondition ref="A3:A1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9112-6BD9-4D52-9ADA-D5CD171D460F}">
  <dimension ref="A1:X24"/>
  <sheetViews>
    <sheetView tabSelected="1" zoomScale="80" zoomScaleNormal="80" workbookViewId="0">
      <selection activeCell="P26" sqref="P26"/>
    </sheetView>
  </sheetViews>
  <sheetFormatPr defaultRowHeight="14.5" x14ac:dyDescent="0.35"/>
  <cols>
    <col min="1" max="1" width="18.7265625" customWidth="1"/>
  </cols>
  <sheetData>
    <row r="1" spans="1:24" x14ac:dyDescent="0.35">
      <c r="B1" t="s">
        <v>18</v>
      </c>
      <c r="O1" t="s">
        <v>14</v>
      </c>
    </row>
    <row r="2" spans="1:24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t="s">
        <v>9</v>
      </c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</row>
    <row r="3" spans="1:24" x14ac:dyDescent="0.35">
      <c r="A3" t="s">
        <v>8</v>
      </c>
      <c r="B3">
        <v>1239481.8799940001</v>
      </c>
      <c r="C3">
        <v>595188.35145700001</v>
      </c>
      <c r="D3">
        <v>284190.38068900001</v>
      </c>
      <c r="E3">
        <v>140101.590306</v>
      </c>
      <c r="F3">
        <v>78012.910139</v>
      </c>
      <c r="G3">
        <v>45290.010101</v>
      </c>
      <c r="H3">
        <v>19254.610026999999</v>
      </c>
      <c r="I3">
        <v>11936.450006999999</v>
      </c>
      <c r="J3">
        <v>4699.7599950000003</v>
      </c>
      <c r="K3">
        <v>1319.2100009999999</v>
      </c>
      <c r="L3">
        <f>SUM(B3:K3)</f>
        <v>2419475.1527159996</v>
      </c>
      <c r="M3">
        <f>(L3/L$16)*100</f>
        <v>45.630705179171549</v>
      </c>
      <c r="N3" t="s">
        <v>8</v>
      </c>
      <c r="O3">
        <f>(B3/$L3)*100</f>
        <v>51.229370080639626</v>
      </c>
      <c r="P3">
        <f t="shared" ref="P3:X15" si="0">(C3/$L3)*100</f>
        <v>24.59989517928576</v>
      </c>
      <c r="Q3">
        <f t="shared" si="0"/>
        <v>11.745951611446804</v>
      </c>
      <c r="R3">
        <f t="shared" si="0"/>
        <v>5.7905777684357673</v>
      </c>
      <c r="S3">
        <f t="shared" si="0"/>
        <v>3.2243732716753062</v>
      </c>
      <c r="T3">
        <f t="shared" si="0"/>
        <v>1.8718939952807272</v>
      </c>
      <c r="U3">
        <f t="shared" si="0"/>
        <v>0.7958176386058603</v>
      </c>
      <c r="V3">
        <f t="shared" si="0"/>
        <v>0.49334873282747499</v>
      </c>
      <c r="W3">
        <f t="shared" si="0"/>
        <v>0.19424708659331549</v>
      </c>
      <c r="X3">
        <f t="shared" si="0"/>
        <v>5.4524635209380473E-2</v>
      </c>
    </row>
    <row r="4" spans="1:24" x14ac:dyDescent="0.35">
      <c r="A4" t="s">
        <v>12</v>
      </c>
      <c r="B4">
        <v>69433.110008000003</v>
      </c>
      <c r="C4">
        <v>33864.770019000003</v>
      </c>
      <c r="D4">
        <v>16839.18</v>
      </c>
      <c r="E4">
        <v>9692.7100009999995</v>
      </c>
      <c r="F4">
        <v>4921.2500049999999</v>
      </c>
      <c r="G4">
        <v>1529.69</v>
      </c>
      <c r="H4">
        <v>281.310001</v>
      </c>
      <c r="L4">
        <f t="shared" ref="L4:L15" si="1">SUM(B4:K4)</f>
        <v>136562.02003400002</v>
      </c>
      <c r="M4">
        <f t="shared" ref="M4:M15" si="2">(L4/L$16)*100</f>
        <v>2.575526046567763</v>
      </c>
      <c r="N4" t="s">
        <v>12</v>
      </c>
      <c r="O4">
        <f t="shared" ref="O4:O15" si="3">(B4/$L4)*100</f>
        <v>50.843645979103968</v>
      </c>
      <c r="P4">
        <f t="shared" si="0"/>
        <v>24.798088085229445</v>
      </c>
      <c r="Q4">
        <f t="shared" si="0"/>
        <v>12.330792994866016</v>
      </c>
      <c r="R4">
        <f t="shared" si="0"/>
        <v>7.0976615596245534</v>
      </c>
      <c r="S4">
        <f t="shared" si="0"/>
        <v>3.603673996455786</v>
      </c>
      <c r="T4">
        <f t="shared" si="0"/>
        <v>1.1201430673178028</v>
      </c>
      <c r="U4">
        <f t="shared" si="0"/>
        <v>0.2059943174024241</v>
      </c>
      <c r="V4">
        <f t="shared" si="0"/>
        <v>0</v>
      </c>
      <c r="W4">
        <f t="shared" si="0"/>
        <v>0</v>
      </c>
      <c r="X4">
        <f t="shared" si="0"/>
        <v>0</v>
      </c>
    </row>
    <row r="5" spans="1:24" x14ac:dyDescent="0.35">
      <c r="A5" t="s">
        <v>7</v>
      </c>
      <c r="B5">
        <v>102290.59995800001</v>
      </c>
      <c r="C5">
        <v>46787.470114999996</v>
      </c>
      <c r="D5">
        <v>21846.380041</v>
      </c>
      <c r="E5">
        <v>10815.940022000001</v>
      </c>
      <c r="F5">
        <v>7198.9700119999998</v>
      </c>
      <c r="G5">
        <v>3720.1600149999999</v>
      </c>
      <c r="H5">
        <v>1443.649999</v>
      </c>
      <c r="L5">
        <f t="shared" si="1"/>
        <v>194103.17016199999</v>
      </c>
      <c r="M5">
        <f t="shared" si="2"/>
        <v>3.6607379588346785</v>
      </c>
      <c r="N5" t="s">
        <v>7</v>
      </c>
      <c r="O5">
        <f t="shared" si="3"/>
        <v>52.699087744227711</v>
      </c>
      <c r="P5">
        <f t="shared" si="0"/>
        <v>24.104433779185992</v>
      </c>
      <c r="Q5">
        <f t="shared" si="0"/>
        <v>11.255035156183613</v>
      </c>
      <c r="R5">
        <f t="shared" si="0"/>
        <v>5.5722634581253541</v>
      </c>
      <c r="S5">
        <f t="shared" si="0"/>
        <v>3.7088369066778681</v>
      </c>
      <c r="T5">
        <f t="shared" si="0"/>
        <v>1.9165890036186046</v>
      </c>
      <c r="U5">
        <f t="shared" si="0"/>
        <v>0.74375395198085559</v>
      </c>
      <c r="V5">
        <f t="shared" si="0"/>
        <v>0</v>
      </c>
      <c r="W5">
        <f t="shared" si="0"/>
        <v>0</v>
      </c>
      <c r="X5">
        <f t="shared" si="0"/>
        <v>0</v>
      </c>
    </row>
    <row r="6" spans="1:24" x14ac:dyDescent="0.35">
      <c r="A6" t="s">
        <v>3</v>
      </c>
      <c r="B6">
        <v>58427.259948999999</v>
      </c>
      <c r="C6">
        <v>29582.040023000001</v>
      </c>
      <c r="D6">
        <v>15014.490019000001</v>
      </c>
      <c r="E6">
        <v>6693.4700140000004</v>
      </c>
      <c r="F6">
        <v>3706.8600029999998</v>
      </c>
      <c r="G6">
        <v>2193.2300030000001</v>
      </c>
      <c r="H6">
        <v>710.91999899999996</v>
      </c>
      <c r="I6">
        <v>314.96000299999997</v>
      </c>
      <c r="L6">
        <f t="shared" si="1"/>
        <v>116643.23001300002</v>
      </c>
      <c r="M6">
        <f t="shared" si="2"/>
        <v>2.199862575110421</v>
      </c>
      <c r="N6" t="s">
        <v>3</v>
      </c>
      <c r="O6">
        <f t="shared" si="3"/>
        <v>50.090571002267524</v>
      </c>
      <c r="P6">
        <f t="shared" si="0"/>
        <v>25.361128991115084</v>
      </c>
      <c r="Q6">
        <f t="shared" si="0"/>
        <v>12.872148702780795</v>
      </c>
      <c r="R6">
        <f t="shared" si="0"/>
        <v>5.7384127765100521</v>
      </c>
      <c r="S6">
        <f t="shared" si="0"/>
        <v>3.1779469777944818</v>
      </c>
      <c r="T6">
        <f t="shared" si="0"/>
        <v>1.8802891541631368</v>
      </c>
      <c r="U6">
        <f t="shared" si="0"/>
        <v>0.60948243538932101</v>
      </c>
      <c r="V6">
        <f t="shared" si="0"/>
        <v>0.27001995997958672</v>
      </c>
      <c r="W6">
        <f t="shared" si="0"/>
        <v>0</v>
      </c>
      <c r="X6">
        <f t="shared" si="0"/>
        <v>0</v>
      </c>
    </row>
    <row r="7" spans="1:24" x14ac:dyDescent="0.35">
      <c r="A7" t="s">
        <v>4</v>
      </c>
      <c r="B7">
        <v>34030.15</v>
      </c>
      <c r="C7">
        <v>16395.510000999999</v>
      </c>
      <c r="D7">
        <v>8362.3599969999996</v>
      </c>
      <c r="E7">
        <v>4102.139999</v>
      </c>
      <c r="F7">
        <v>1511.8199990000001</v>
      </c>
      <c r="G7">
        <v>559.94000100000005</v>
      </c>
      <c r="L7">
        <f t="shared" si="1"/>
        <v>64961.919996999997</v>
      </c>
      <c r="M7">
        <f t="shared" si="2"/>
        <v>1.2251658033885926</v>
      </c>
      <c r="N7" t="s">
        <v>4</v>
      </c>
      <c r="O7">
        <f t="shared" si="3"/>
        <v>52.384766339374735</v>
      </c>
      <c r="P7">
        <f t="shared" si="0"/>
        <v>25.238647505734374</v>
      </c>
      <c r="Q7">
        <f t="shared" si="0"/>
        <v>12.872710654774643</v>
      </c>
      <c r="R7">
        <f t="shared" si="0"/>
        <v>6.3146840474995827</v>
      </c>
      <c r="S7">
        <f t="shared" si="0"/>
        <v>2.3272403264401933</v>
      </c>
      <c r="T7">
        <f t="shared" si="0"/>
        <v>0.86195112617647174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</row>
    <row r="8" spans="1:24" x14ac:dyDescent="0.35">
      <c r="A8" t="s">
        <v>5</v>
      </c>
      <c r="B8">
        <v>71189.169980999999</v>
      </c>
      <c r="C8">
        <v>34101.250009000003</v>
      </c>
      <c r="D8">
        <v>17864.180018999999</v>
      </c>
      <c r="E8">
        <v>9106.3399939999999</v>
      </c>
      <c r="F8">
        <v>2694.4600009999999</v>
      </c>
      <c r="G8">
        <v>2904.7600029999999</v>
      </c>
      <c r="H8">
        <v>497.930001</v>
      </c>
      <c r="I8">
        <v>573.35000100000002</v>
      </c>
      <c r="L8">
        <f t="shared" si="1"/>
        <v>138931.44000900001</v>
      </c>
      <c r="M8">
        <f t="shared" si="2"/>
        <v>2.6202127234296833</v>
      </c>
      <c r="N8" t="s">
        <v>5</v>
      </c>
      <c r="O8">
        <f t="shared" si="3"/>
        <v>51.240503932290885</v>
      </c>
      <c r="P8">
        <f t="shared" si="0"/>
        <v>24.545380085883309</v>
      </c>
      <c r="Q8">
        <f t="shared" si="0"/>
        <v>12.858270250306736</v>
      </c>
      <c r="R8">
        <f t="shared" si="0"/>
        <v>6.55455668883162</v>
      </c>
      <c r="S8">
        <f t="shared" si="0"/>
        <v>1.9394170252791247</v>
      </c>
      <c r="T8">
        <f t="shared" si="0"/>
        <v>2.0907866518995477</v>
      </c>
      <c r="U8">
        <f t="shared" si="0"/>
        <v>0.35839979846731884</v>
      </c>
      <c r="V8">
        <f t="shared" si="0"/>
        <v>0.41268556704145465</v>
      </c>
      <c r="W8">
        <f t="shared" si="0"/>
        <v>0</v>
      </c>
      <c r="X8">
        <f t="shared" si="0"/>
        <v>0</v>
      </c>
    </row>
    <row r="9" spans="1:24" x14ac:dyDescent="0.35">
      <c r="A9" t="s">
        <v>13</v>
      </c>
      <c r="B9">
        <v>79980.770006000006</v>
      </c>
      <c r="C9">
        <v>37635.860090000002</v>
      </c>
      <c r="D9">
        <v>17421.270044000001</v>
      </c>
      <c r="E9">
        <v>10071.070019999999</v>
      </c>
      <c r="F9">
        <v>4266.810015</v>
      </c>
      <c r="G9">
        <v>1263.080003</v>
      </c>
      <c r="H9">
        <v>360.38</v>
      </c>
      <c r="L9">
        <f t="shared" si="1"/>
        <v>150999.24017800004</v>
      </c>
      <c r="M9">
        <f t="shared" si="2"/>
        <v>2.8478084608997074</v>
      </c>
      <c r="N9" t="s">
        <v>13</v>
      </c>
      <c r="O9">
        <f t="shared" si="3"/>
        <v>52.967663884743757</v>
      </c>
      <c r="P9">
        <f t="shared" si="0"/>
        <v>24.924536074244028</v>
      </c>
      <c r="Q9">
        <f t="shared" si="0"/>
        <v>11.53732298484652</v>
      </c>
      <c r="R9">
        <f t="shared" si="0"/>
        <v>6.6696163557697901</v>
      </c>
      <c r="S9">
        <f t="shared" si="0"/>
        <v>2.8257162155056039</v>
      </c>
      <c r="T9">
        <f t="shared" si="0"/>
        <v>0.83648103229596615</v>
      </c>
      <c r="U9">
        <f t="shared" si="0"/>
        <v>0.23866345259431701</v>
      </c>
      <c r="V9">
        <f t="shared" si="0"/>
        <v>0</v>
      </c>
      <c r="W9">
        <f t="shared" si="0"/>
        <v>0</v>
      </c>
      <c r="X9">
        <f t="shared" si="0"/>
        <v>0</v>
      </c>
    </row>
    <row r="10" spans="1:24" x14ac:dyDescent="0.35">
      <c r="A10" t="s">
        <v>6</v>
      </c>
      <c r="B10">
        <v>179849.31974000001</v>
      </c>
      <c r="C10">
        <v>84664.590121000001</v>
      </c>
      <c r="D10">
        <v>42197.250052000003</v>
      </c>
      <c r="E10">
        <v>21282.850036</v>
      </c>
      <c r="F10">
        <v>11419.670001</v>
      </c>
      <c r="G10">
        <v>6813.7600039999998</v>
      </c>
      <c r="H10">
        <v>3877.680006</v>
      </c>
      <c r="I10">
        <v>1332.920003</v>
      </c>
      <c r="J10">
        <v>236.08000100000001</v>
      </c>
      <c r="L10">
        <f t="shared" si="1"/>
        <v>351674.11996400001</v>
      </c>
      <c r="M10">
        <f t="shared" si="2"/>
        <v>6.6324872438586775</v>
      </c>
      <c r="N10" t="s">
        <v>6</v>
      </c>
      <c r="O10">
        <f t="shared" si="3"/>
        <v>51.140902764869566</v>
      </c>
      <c r="P10">
        <f t="shared" si="0"/>
        <v>24.074728652101811</v>
      </c>
      <c r="Q10">
        <f t="shared" si="0"/>
        <v>11.998963715703512</v>
      </c>
      <c r="R10">
        <f t="shared" si="0"/>
        <v>6.0518670063576678</v>
      </c>
      <c r="S10">
        <f t="shared" si="0"/>
        <v>3.24723070385987</v>
      </c>
      <c r="T10">
        <f t="shared" si="0"/>
        <v>1.9375210222172468</v>
      </c>
      <c r="U10">
        <f t="shared" si="0"/>
        <v>1.102634452144772</v>
      </c>
      <c r="V10">
        <f t="shared" si="0"/>
        <v>0.37902135168105278</v>
      </c>
      <c r="W10">
        <f t="shared" si="0"/>
        <v>6.7130331064499976E-2</v>
      </c>
      <c r="X10">
        <f t="shared" si="0"/>
        <v>0</v>
      </c>
    </row>
    <row r="11" spans="1:24" x14ac:dyDescent="0.35">
      <c r="A11" t="s">
        <v>2</v>
      </c>
      <c r="B11">
        <v>368851.57990900002</v>
      </c>
      <c r="C11">
        <v>188473.54999</v>
      </c>
      <c r="D11">
        <v>99063.119995000001</v>
      </c>
      <c r="E11">
        <v>47126.429977</v>
      </c>
      <c r="F11">
        <v>22198.099998000002</v>
      </c>
      <c r="G11">
        <v>10187.509996000001</v>
      </c>
      <c r="H11">
        <v>4886.7300100000002</v>
      </c>
      <c r="I11">
        <v>3180.570001</v>
      </c>
      <c r="J11">
        <v>1090.0799979999999</v>
      </c>
      <c r="L11">
        <f t="shared" si="1"/>
        <v>745057.6698739999</v>
      </c>
      <c r="M11">
        <f t="shared" si="2"/>
        <v>14.051604058564877</v>
      </c>
      <c r="N11" t="s">
        <v>2</v>
      </c>
      <c r="O11">
        <f t="shared" si="3"/>
        <v>49.506446926635647</v>
      </c>
      <c r="P11">
        <f t="shared" si="0"/>
        <v>25.296504903019606</v>
      </c>
      <c r="Q11">
        <f t="shared" si="0"/>
        <v>13.296033850876674</v>
      </c>
      <c r="R11">
        <f t="shared" si="0"/>
        <v>6.3252056696456487</v>
      </c>
      <c r="S11">
        <f t="shared" si="0"/>
        <v>2.9793801064760563</v>
      </c>
      <c r="T11">
        <f t="shared" si="0"/>
        <v>1.3673451610427494</v>
      </c>
      <c r="U11">
        <f t="shared" si="0"/>
        <v>0.65588614245477361</v>
      </c>
      <c r="V11">
        <f t="shared" si="0"/>
        <v>0.42688910262985158</v>
      </c>
      <c r="W11">
        <f t="shared" si="0"/>
        <v>0.14630813721900859</v>
      </c>
      <c r="X11">
        <f t="shared" si="0"/>
        <v>0</v>
      </c>
    </row>
    <row r="12" spans="1:24" x14ac:dyDescent="0.35">
      <c r="A12" t="s">
        <v>11</v>
      </c>
      <c r="B12">
        <v>74814.749987000003</v>
      </c>
      <c r="C12">
        <v>37131.539993999999</v>
      </c>
      <c r="D12">
        <v>18919.700011000001</v>
      </c>
      <c r="E12">
        <v>8329.349999</v>
      </c>
      <c r="F12">
        <v>4909.8500009999998</v>
      </c>
      <c r="G12">
        <v>1247.760002</v>
      </c>
      <c r="H12">
        <v>2027.3900020000001</v>
      </c>
      <c r="L12">
        <f t="shared" si="1"/>
        <v>147380.33999600002</v>
      </c>
      <c r="M12">
        <f t="shared" si="2"/>
        <v>2.7795568952275729</v>
      </c>
      <c r="N12" t="s">
        <v>11</v>
      </c>
      <c r="O12">
        <f t="shared" si="3"/>
        <v>50.763046135617898</v>
      </c>
      <c r="P12">
        <f t="shared" si="0"/>
        <v>25.194364455264363</v>
      </c>
      <c r="Q12">
        <f t="shared" si="0"/>
        <v>12.837329600076572</v>
      </c>
      <c r="R12">
        <f t="shared" si="0"/>
        <v>5.6516018345635946</v>
      </c>
      <c r="S12">
        <f t="shared" si="0"/>
        <v>3.3314144892956929</v>
      </c>
      <c r="T12">
        <f t="shared" si="0"/>
        <v>0.84662581320810137</v>
      </c>
      <c r="U12">
        <f t="shared" si="0"/>
        <v>1.3756176719737683</v>
      </c>
      <c r="V12">
        <f t="shared" si="0"/>
        <v>0</v>
      </c>
      <c r="W12">
        <f t="shared" si="0"/>
        <v>0</v>
      </c>
      <c r="X12">
        <f t="shared" si="0"/>
        <v>0</v>
      </c>
    </row>
    <row r="13" spans="1:24" x14ac:dyDescent="0.35">
      <c r="A13" t="s">
        <v>10</v>
      </c>
      <c r="B13">
        <v>96310.239994999996</v>
      </c>
      <c r="C13">
        <v>47799.650019000001</v>
      </c>
      <c r="D13">
        <v>24349.970024999999</v>
      </c>
      <c r="E13">
        <v>12087.850019</v>
      </c>
      <c r="F13">
        <v>5943.080011</v>
      </c>
      <c r="G13">
        <v>3414.6100029999998</v>
      </c>
      <c r="H13">
        <v>783.22000100000002</v>
      </c>
      <c r="L13">
        <f t="shared" si="1"/>
        <v>190688.62007300003</v>
      </c>
      <c r="M13">
        <f t="shared" si="2"/>
        <v>3.5963403855610832</v>
      </c>
      <c r="N13" t="s">
        <v>10</v>
      </c>
      <c r="O13">
        <f t="shared" si="3"/>
        <v>50.506548297496835</v>
      </c>
      <c r="P13">
        <f t="shared" si="0"/>
        <v>25.066860309074123</v>
      </c>
      <c r="Q13">
        <f t="shared" si="0"/>
        <v>12.769493017296085</v>
      </c>
      <c r="R13">
        <f t="shared" si="0"/>
        <v>6.3390515985550104</v>
      </c>
      <c r="S13">
        <f t="shared" si="0"/>
        <v>3.1166411549492836</v>
      </c>
      <c r="T13">
        <f t="shared" si="0"/>
        <v>1.7906731936561331</v>
      </c>
      <c r="U13">
        <f t="shared" si="0"/>
        <v>0.410732428972513</v>
      </c>
      <c r="V13">
        <f t="shared" si="0"/>
        <v>0</v>
      </c>
      <c r="W13">
        <f t="shared" si="0"/>
        <v>0</v>
      </c>
      <c r="X13">
        <f t="shared" si="0"/>
        <v>0</v>
      </c>
    </row>
    <row r="14" spans="1:24" x14ac:dyDescent="0.35">
      <c r="A14" t="s">
        <v>0</v>
      </c>
      <c r="B14">
        <v>307596.930016</v>
      </c>
      <c r="C14">
        <v>147315.940003</v>
      </c>
      <c r="D14">
        <v>65427.290004000002</v>
      </c>
      <c r="E14">
        <v>27315.430016999999</v>
      </c>
      <c r="F14">
        <v>12223.990008000001</v>
      </c>
      <c r="G14">
        <v>6146.8900080000003</v>
      </c>
      <c r="H14">
        <v>2992.7599989999999</v>
      </c>
      <c r="L14">
        <f t="shared" si="1"/>
        <v>569019.23005500005</v>
      </c>
      <c r="M14">
        <f t="shared" si="2"/>
        <v>10.73156246253324</v>
      </c>
      <c r="N14" t="s">
        <v>0</v>
      </c>
      <c r="O14">
        <f t="shared" si="3"/>
        <v>54.057387478146993</v>
      </c>
      <c r="P14">
        <f t="shared" si="0"/>
        <v>25.889448409109267</v>
      </c>
      <c r="Q14">
        <f t="shared" si="0"/>
        <v>11.498256394195316</v>
      </c>
      <c r="R14">
        <f t="shared" si="0"/>
        <v>4.8004405781435109</v>
      </c>
      <c r="S14">
        <f t="shared" si="0"/>
        <v>2.1482560451987638</v>
      </c>
      <c r="T14">
        <f t="shared" si="0"/>
        <v>1.0802605049755272</v>
      </c>
      <c r="U14">
        <f t="shared" si="0"/>
        <v>0.52595059023061963</v>
      </c>
      <c r="V14">
        <f t="shared" si="0"/>
        <v>0</v>
      </c>
      <c r="W14">
        <f t="shared" si="0"/>
        <v>0</v>
      </c>
      <c r="X14">
        <f t="shared" si="0"/>
        <v>0</v>
      </c>
    </row>
    <row r="15" spans="1:24" x14ac:dyDescent="0.35">
      <c r="A15" t="s">
        <v>1</v>
      </c>
      <c r="B15">
        <v>42006.069983000001</v>
      </c>
      <c r="C15">
        <v>19483.940018000001</v>
      </c>
      <c r="D15">
        <v>8717.24</v>
      </c>
      <c r="E15">
        <v>4319.0400049999998</v>
      </c>
      <c r="F15">
        <v>1065.600005</v>
      </c>
      <c r="G15">
        <v>1208.1699960000001</v>
      </c>
      <c r="L15">
        <f t="shared" si="1"/>
        <v>76800.060007000007</v>
      </c>
      <c r="M15">
        <f t="shared" si="2"/>
        <v>1.4484302068521617</v>
      </c>
      <c r="N15" t="s">
        <v>1</v>
      </c>
      <c r="O15">
        <f t="shared" si="3"/>
        <v>54.695360887961961</v>
      </c>
      <c r="P15">
        <f t="shared" si="0"/>
        <v>25.369693742718585</v>
      </c>
      <c r="Q15">
        <f t="shared" si="0"/>
        <v>11.350564048003946</v>
      </c>
      <c r="R15">
        <f t="shared" si="0"/>
        <v>5.6237456124465757</v>
      </c>
      <c r="S15">
        <f t="shared" si="0"/>
        <v>1.3874989224004188</v>
      </c>
      <c r="T15">
        <f t="shared" si="0"/>
        <v>1.5731367864685006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</row>
    <row r="16" spans="1:24" x14ac:dyDescent="0.35">
      <c r="B16">
        <f>SUM(B3:B15)</f>
        <v>2724261.8295259997</v>
      </c>
      <c r="C16">
        <f t="shared" ref="C16:K16" si="4">SUM(C3:C15)</f>
        <v>1318424.4618590001</v>
      </c>
      <c r="D16">
        <f t="shared" si="4"/>
        <v>640212.81089600013</v>
      </c>
      <c r="E16">
        <f t="shared" si="4"/>
        <v>311044.21040899999</v>
      </c>
      <c r="F16">
        <f t="shared" si="4"/>
        <v>160073.37019799999</v>
      </c>
      <c r="G16">
        <f t="shared" si="4"/>
        <v>86479.570135000002</v>
      </c>
      <c r="H16">
        <f t="shared" si="4"/>
        <v>37116.580045000002</v>
      </c>
      <c r="I16">
        <f t="shared" si="4"/>
        <v>17338.250014999998</v>
      </c>
      <c r="J16">
        <f t="shared" si="4"/>
        <v>6025.9199940000008</v>
      </c>
      <c r="K16">
        <f t="shared" si="4"/>
        <v>1319.2100009999999</v>
      </c>
      <c r="L16">
        <f>SUM(L3:L15)</f>
        <v>5302296.2130779997</v>
      </c>
    </row>
    <row r="18" spans="1:12" x14ac:dyDescent="0.35"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</row>
    <row r="19" spans="1:12" x14ac:dyDescent="0.35">
      <c r="A19" t="s">
        <v>255</v>
      </c>
      <c r="B19">
        <v>2724261.8295259997</v>
      </c>
      <c r="C19">
        <v>1318424.4618590001</v>
      </c>
      <c r="D19">
        <v>640212.81089600013</v>
      </c>
      <c r="E19">
        <v>311044.21040899999</v>
      </c>
      <c r="F19">
        <v>160073.37019799999</v>
      </c>
      <c r="G19">
        <v>86479.570135000002</v>
      </c>
      <c r="H19">
        <v>37116.580045000002</v>
      </c>
      <c r="I19">
        <v>17338.250014999998</v>
      </c>
      <c r="J19">
        <v>6025.9199940000008</v>
      </c>
      <c r="K19">
        <v>1319.2100009999999</v>
      </c>
      <c r="L19">
        <f>SUM(B19:K19)</f>
        <v>5302296.2130779997</v>
      </c>
    </row>
    <row r="20" spans="1:12" x14ac:dyDescent="0.35">
      <c r="A20" t="s">
        <v>256</v>
      </c>
      <c r="B20">
        <f>SUM(B19:F19)</f>
        <v>5154016.6828879993</v>
      </c>
    </row>
    <row r="21" spans="1:12" x14ac:dyDescent="0.35">
      <c r="A21" t="s">
        <v>257</v>
      </c>
      <c r="B21">
        <f>SUM(G19:K19)</f>
        <v>148279.53018999999</v>
      </c>
    </row>
    <row r="23" spans="1:12" x14ac:dyDescent="0.35">
      <c r="A23" t="s">
        <v>258</v>
      </c>
      <c r="B23">
        <f>(B20/L19)*100</f>
        <v>97.203484599289794</v>
      </c>
    </row>
    <row r="24" spans="1:12" x14ac:dyDescent="0.35">
      <c r="A24" t="s">
        <v>259</v>
      </c>
      <c r="B24">
        <f>(B21/L19)*100</f>
        <v>2.7965154007102</v>
      </c>
    </row>
  </sheetData>
  <sortState xmlns:xlrd2="http://schemas.microsoft.com/office/spreadsheetml/2017/richdata2" ref="A3:W15">
    <sortCondition ref="A3:A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Whittaker's Beta diversity</vt:lpstr>
      <vt:lpstr>River segment and richness</vt:lpstr>
      <vt:lpstr>Strahler River Area</vt:lpstr>
      <vt:lpstr>Strahler River Volume</vt:lpstr>
      <vt:lpstr>Strahler River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Allen</dc:creator>
  <cp:lastModifiedBy>Jonathan Allen</cp:lastModifiedBy>
  <dcterms:created xsi:type="dcterms:W3CDTF">2023-02-17T02:35:21Z</dcterms:created>
  <dcterms:modified xsi:type="dcterms:W3CDTF">2025-05-03T16:00:07Z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2023-02-17T02:38:08Z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f84525d1-f016-4581-80c4-40be00cbeded</vt:lpwstr>
  </property>
  <property fmtid="{D5CDD505-2E9C-101B-9397-08002B2CF9AE}" pid="8" name="MSIP_Label_638202f9-8d41-4950-b014-f183e397b746_ContentBits">
    <vt:lpwstr>0</vt:lpwstr>
  </property>
</Properties>
</file>